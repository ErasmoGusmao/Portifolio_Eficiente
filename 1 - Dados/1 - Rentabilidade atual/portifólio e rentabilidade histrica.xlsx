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\HD-Antigo\Documentos\ProjetosDigitais\Projetos\Python\PyPortifolio - Análise de Carteira\1 - Dados\1 - Rentabilidade atual\"/>
    </mc:Choice>
  </mc:AlternateContent>
  <xr:revisionPtr revIDLastSave="0" documentId="13_ncr:1_{99B75F07-5806-4667-8C6E-209A1AA34B81}" xr6:coauthVersionLast="47" xr6:coauthVersionMax="47" xr10:uidLastSave="{00000000-0000-0000-0000-000000000000}"/>
  <bookViews>
    <workbookView xWindow="-108" yWindow="-108" windowWidth="23256" windowHeight="12456" activeTab="1" xr2:uid="{72B79EB0-1B8F-49CB-BAF9-677721B35CA4}"/>
  </bookViews>
  <sheets>
    <sheet name="Histórico retorno" sheetId="1" r:id="rId1"/>
    <sheet name="Peso ativ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2" l="1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<sst xmlns="http://schemas.openxmlformats.org/spreadsheetml/2006/main" count="136" uniqueCount="91">
  <si>
    <t>Mes/Ano</t>
  </si>
  <si>
    <t>jan/2022</t>
  </si>
  <si>
    <t>fev/2022</t>
  </si>
  <si>
    <t>mar/2022</t>
  </si>
  <si>
    <t>abr/2022</t>
  </si>
  <si>
    <t>mai/2022</t>
  </si>
  <si>
    <t>jun/2022</t>
  </si>
  <si>
    <t>jul/2022</t>
  </si>
  <si>
    <t>ago/2022</t>
  </si>
  <si>
    <t>set/2022</t>
  </si>
  <si>
    <t>out/2022</t>
  </si>
  <si>
    <t>nov/2022</t>
  </si>
  <si>
    <t>dez/2022</t>
  </si>
  <si>
    <t>jan/2023</t>
  </si>
  <si>
    <t>fev/2023</t>
  </si>
  <si>
    <t>mar/2023</t>
  </si>
  <si>
    <t>abr/2023</t>
  </si>
  <si>
    <t>mai/2023</t>
  </si>
  <si>
    <t>jun/2023</t>
  </si>
  <si>
    <t>jul/2023</t>
  </si>
  <si>
    <t>ago/2023</t>
  </si>
  <si>
    <t>set/2023</t>
  </si>
  <si>
    <t>out/2023</t>
  </si>
  <si>
    <t>nov/2023</t>
  </si>
  <si>
    <t>dez/2023</t>
  </si>
  <si>
    <t>jan/2024</t>
  </si>
  <si>
    <t>fev/2024</t>
  </si>
  <si>
    <t>mar/2024</t>
  </si>
  <si>
    <t>abr/2024</t>
  </si>
  <si>
    <t>mai/2024</t>
  </si>
  <si>
    <t>jun/2024</t>
  </si>
  <si>
    <t>jul/2024</t>
  </si>
  <si>
    <t>ago/2024</t>
  </si>
  <si>
    <t>set/2024</t>
  </si>
  <si>
    <t>out/2024</t>
  </si>
  <si>
    <t>nov/2024</t>
  </si>
  <si>
    <t>dez/2024</t>
  </si>
  <si>
    <t>jan/2025</t>
  </si>
  <si>
    <t>fev/2025</t>
  </si>
  <si>
    <t>mar/2025</t>
  </si>
  <si>
    <t>abr/2025</t>
  </si>
  <si>
    <t>mai/2025</t>
  </si>
  <si>
    <t>jun/2025</t>
  </si>
  <si>
    <t>jul/2025</t>
  </si>
  <si>
    <t>ago/2025</t>
  </si>
  <si>
    <t>set/2025</t>
  </si>
  <si>
    <t>out/2025</t>
  </si>
  <si>
    <t>nov/2025</t>
  </si>
  <si>
    <t>dez/2025</t>
  </si>
  <si>
    <t>PETR4</t>
  </si>
  <si>
    <t>ITUB4</t>
  </si>
  <si>
    <t>VALE3</t>
  </si>
  <si>
    <t>BBAS3</t>
  </si>
  <si>
    <t>GOOGL</t>
  </si>
  <si>
    <t>NVDA</t>
  </si>
  <si>
    <t>NDAQ</t>
  </si>
  <si>
    <t>META</t>
  </si>
  <si>
    <t>AMZN</t>
  </si>
  <si>
    <t>VOO</t>
  </si>
  <si>
    <t>QBTC11</t>
  </si>
  <si>
    <t>BTC</t>
  </si>
  <si>
    <t>USDC</t>
  </si>
  <si>
    <t>SOL</t>
  </si>
  <si>
    <t>ARX Hedge FIC Incentivado Financeiro em Infra RF RL</t>
  </si>
  <si>
    <t>BNP Paribas RF FIF RF</t>
  </si>
  <si>
    <t>Daycoval Classic CIC FIRF CP RL</t>
  </si>
  <si>
    <t>Plural Yield FIF RF Referenciado DI RL</t>
  </si>
  <si>
    <t>Sparta Debêntures Incentivadas 45 FIC de FIF Infra RF RL</t>
  </si>
  <si>
    <t>Trend Investback FIC FIRF Simples RL</t>
  </si>
  <si>
    <t>XP Debêntures Incentivadas CDI CP FIF Incentivado de Investimento em Infra RF RL</t>
  </si>
  <si>
    <t>JP Morgan Global High Yield Bond A (acc) - USD</t>
  </si>
  <si>
    <t>Ativos Cartira</t>
  </si>
  <si>
    <t>Peso</t>
  </si>
  <si>
    <t>Ativo</t>
  </si>
  <si>
    <t>CRA REDE SIM - FEV/2030 - 16,95%</t>
  </si>
  <si>
    <t>Sulamérica Crédito ESG XP Seg Prev FIC RF CP IS RL</t>
  </si>
  <si>
    <t>CRA MARFRIG - MAR/2034 - IPC-A + 6,80%</t>
  </si>
  <si>
    <t>XP Balanceado Fundo Mútuo de Privatização - FGTS Carteira Livre RL</t>
  </si>
  <si>
    <t>DEB ENGIE - SET/2030 - 13,30%</t>
  </si>
  <si>
    <t>CRA JBS - SET/2038 - IPC-A + 6,30%</t>
  </si>
  <si>
    <t>Valora CRI CDI Renda+ FII RL</t>
  </si>
  <si>
    <t>DEB AEGEA RIO SPE4 - SET/2042 - IPC-A + 7,69%</t>
  </si>
  <si>
    <t>DEB AEGEA RIO SPE1 - SET/2042 - IPC-A + 7,69%</t>
  </si>
  <si>
    <t>CRA M. DIAS BRANCO - MAR/2031 - IPC-A + 4,14%</t>
  </si>
  <si>
    <t>GS Índice de Commodities Long &amp; Short - 7y- Taxa Fixa + Alavancagem - 27.02.2020</t>
  </si>
  <si>
    <t>JP Morgan Global High Yield Bond</t>
  </si>
  <si>
    <t>Fundo 24 Horas FIRF RL</t>
  </si>
  <si>
    <t>Absolute Atenas Advisory FIC FIF RF CP RL</t>
  </si>
  <si>
    <t>KDIF11</t>
  </si>
  <si>
    <t>Peso Atual</t>
  </si>
  <si>
    <t>Lista?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</si>
</sst>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7030A0"/>
        <bgColor rgb="FF7030A0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2" fontId="0" fillId="0" borderId="1" xfId="0" applyNumberFormat="1" applyBorder="1"/>
    <xf numFmtId="0" fontId="2" fillId="0" borderId="1" xfId="0" applyFont="1" applyBorder="1"/>
    <xf numFmtId="2" fontId="2" fillId="0" borderId="1" xfId="0" applyNumberFormat="1" applyFont="1" applyBorder="1"/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6" fillId="0" borderId="0" xfId="0" applyFont="1" applyAlignment="1">
      <alignment horizontal="right"/>
    </xf>
    <xf numFmtId="0" fontId="1" fillId="2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0" fillId="0" borderId="0" xfId="0" applyAlignment="1">
      <alignment horizontal="right"/>
    </xf>
    <xf numFmtId="0" fontId="6" fillId="0" borderId="0" xfId="0" applyFont="1"/>
    <xf numFmtId="0" fontId="5" fillId="6" borderId="2" xfId="0" applyFont="1" applyFill="1" applyBorder="1" applyAlignment="1">
      <alignment horizontal="right"/>
    </xf>
    <xf numFmtId="0" fontId="0" fillId="7" borderId="2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5" fillId="6" borderId="2" xfId="0" applyFont="1" applyFill="1" applyBorder="1" applyAlignment="1">
      <alignment horizontal="center"/>
    </xf>
    <xf numFmtId="164" fontId="0" fillId="7" borderId="2" xfId="1" applyNumberFormat="1" applyFont="1" applyFill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1" fillId="5" borderId="0" xfId="0" applyFont="1" applyFill="1" applyAlignment="1">
      <alignment horizontal="right" vertical="center"/>
    </xf>
    <xf numFmtId="10" fontId="0" fillId="0" borderId="1" xfId="1" applyNumberFormat="1" applyFont="1" applyBorder="1"/>
    <xf numFmtId="0" fontId="1" fillId="3" borderId="0" xfId="0" applyFont="1" applyFill="1" applyAlignment="1">
      <alignment horizontal="left" vertical="center"/>
    </xf>
  </cellXfs>
  <cellStyles count="2">
    <cellStyle name="Normal" xfId="0" builtinId="0"/>
    <cellStyle name="Porcentagem" xfId="1" builtinId="5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EB6D-BA86-4900-9927-D3D90AE25C32}">
  <dimension ref="A2:X50"/>
  <sheetViews>
    <sheetView topLeftCell="B1" workbookViewId="0">
      <selection activeCell="P2" sqref="P2"/>
    </sheetView>
  </sheetViews>
  <sheetFormatPr defaultRowHeight="14.4" x14ac:dyDescent="0.3"/>
  <sheetData>
    <row r="2" spans="1:24" x14ac:dyDescent="0.3">
      <c r="A2" s="2" t="s">
        <v>0</v>
      </c>
      <c r="B2" s="6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  <c r="H2" s="6" t="s">
        <v>55</v>
      </c>
      <c r="I2" s="6" t="s">
        <v>56</v>
      </c>
      <c r="J2" s="6" t="s">
        <v>57</v>
      </c>
      <c r="K2" s="6" t="s">
        <v>58</v>
      </c>
      <c r="L2" s="6" t="s">
        <v>59</v>
      </c>
      <c r="M2" s="6" t="s">
        <v>60</v>
      </c>
      <c r="N2" s="6" t="s">
        <v>61</v>
      </c>
      <c r="O2" s="6" t="s">
        <v>62</v>
      </c>
      <c r="P2" s="25" t="s">
        <v>83</v>
      </c>
      <c r="Q2" s="7" t="s">
        <v>63</v>
      </c>
      <c r="R2" s="7" t="s">
        <v>64</v>
      </c>
      <c r="S2" s="8" t="s">
        <v>65</v>
      </c>
      <c r="T2" s="8" t="s">
        <v>66</v>
      </c>
      <c r="U2" s="8" t="s">
        <v>67</v>
      </c>
      <c r="V2" s="8" t="s">
        <v>68</v>
      </c>
      <c r="W2" s="8" t="s">
        <v>69</v>
      </c>
      <c r="X2" s="9" t="s">
        <v>70</v>
      </c>
    </row>
    <row r="3" spans="1:24" x14ac:dyDescent="0.3">
      <c r="A3" s="1" t="s">
        <v>1</v>
      </c>
      <c r="B3" s="5">
        <v>6.8314285714285718</v>
      </c>
      <c r="C3" s="5">
        <v>0.97571428571428576</v>
      </c>
      <c r="D3" s="5">
        <v>-1.4985714285714291</v>
      </c>
      <c r="E3" s="5">
        <v>5.0028571428571427</v>
      </c>
      <c r="F3" s="5">
        <v>-2.8414285714285716</v>
      </c>
      <c r="G3" s="5">
        <v>-5.104285714285715</v>
      </c>
      <c r="H3" s="5">
        <v>0.40857142857142864</v>
      </c>
      <c r="I3" s="5">
        <v>-8.0228571428571449</v>
      </c>
      <c r="J3" s="5">
        <v>-1.2671428571428578</v>
      </c>
      <c r="K3" s="5">
        <v>-1.5571428571428569</v>
      </c>
      <c r="L3" s="5">
        <v>-7.677142857142857</v>
      </c>
      <c r="M3" s="5">
        <v>-7.0171428571428578</v>
      </c>
      <c r="N3" s="5">
        <v>5.7142857142857151E-3</v>
      </c>
      <c r="O3" s="5">
        <v>-11.424285714285713</v>
      </c>
      <c r="P3" s="3">
        <v>0.88</v>
      </c>
      <c r="Q3" s="3">
        <v>0.76</v>
      </c>
      <c r="R3" s="3">
        <v>0.6</v>
      </c>
      <c r="S3" s="3">
        <v>0.81</v>
      </c>
      <c r="T3" s="3">
        <v>0.76</v>
      </c>
      <c r="U3" s="5">
        <v>1.0593877551020408</v>
      </c>
      <c r="V3" s="3">
        <v>0.77</v>
      </c>
      <c r="W3" s="3">
        <v>0.84</v>
      </c>
      <c r="X3" s="5">
        <v>-0.86647462277091891</v>
      </c>
    </row>
    <row r="4" spans="1:24" x14ac:dyDescent="0.3">
      <c r="A4" s="1" t="s">
        <v>2</v>
      </c>
      <c r="B4" s="3">
        <v>5.0999999999999996</v>
      </c>
      <c r="C4" s="3">
        <v>0.68</v>
      </c>
      <c r="D4" s="3">
        <v>14.11</v>
      </c>
      <c r="E4" s="3">
        <v>7.81</v>
      </c>
      <c r="F4" s="3">
        <v>-0.18</v>
      </c>
      <c r="G4" s="3">
        <v>-0.41</v>
      </c>
      <c r="H4" s="3">
        <v>-4.5</v>
      </c>
      <c r="I4" s="3">
        <v>-32.630000000000003</v>
      </c>
      <c r="J4" s="3">
        <v>2.67</v>
      </c>
      <c r="K4" s="3">
        <v>-2.98</v>
      </c>
      <c r="L4" s="3">
        <v>-1.78</v>
      </c>
      <c r="M4" s="3">
        <v>12.24</v>
      </c>
      <c r="N4" s="3">
        <v>0.03</v>
      </c>
      <c r="O4" s="3">
        <v>-0.22</v>
      </c>
      <c r="P4" s="3">
        <v>1.35</v>
      </c>
      <c r="Q4" s="3">
        <v>1.26</v>
      </c>
      <c r="R4" s="3">
        <v>0.81</v>
      </c>
      <c r="S4" s="3">
        <v>0.92</v>
      </c>
      <c r="T4" s="3">
        <v>0.76</v>
      </c>
      <c r="U4" s="5">
        <v>1.0357142857142858</v>
      </c>
      <c r="V4" s="3">
        <v>0.84</v>
      </c>
      <c r="W4" s="3">
        <v>0.99</v>
      </c>
      <c r="X4" s="5">
        <v>-0.67382716049382707</v>
      </c>
    </row>
    <row r="5" spans="1:24" x14ac:dyDescent="0.3">
      <c r="A5" s="1" t="s">
        <v>3</v>
      </c>
      <c r="B5" s="3">
        <v>-1.62</v>
      </c>
      <c r="C5" s="3">
        <v>7.97</v>
      </c>
      <c r="D5" s="3">
        <v>7.58</v>
      </c>
      <c r="E5" s="3">
        <v>1.55</v>
      </c>
      <c r="F5" s="3">
        <v>2.97</v>
      </c>
      <c r="G5" s="3">
        <v>11.92</v>
      </c>
      <c r="H5" s="3">
        <v>4.45</v>
      </c>
      <c r="I5" s="3">
        <v>5.37</v>
      </c>
      <c r="J5" s="3">
        <v>6.14</v>
      </c>
      <c r="K5" s="3">
        <v>3.79</v>
      </c>
      <c r="L5" s="3">
        <v>7.31</v>
      </c>
      <c r="M5" s="3">
        <v>5.43</v>
      </c>
      <c r="N5" s="3">
        <v>-0.04</v>
      </c>
      <c r="O5" s="3">
        <v>23.25</v>
      </c>
      <c r="P5" s="3">
        <v>1.96</v>
      </c>
      <c r="Q5" s="3">
        <v>0.7</v>
      </c>
      <c r="R5" s="3">
        <v>1.38</v>
      </c>
      <c r="S5" s="3">
        <v>1.0900000000000001</v>
      </c>
      <c r="T5" s="3">
        <v>0.91</v>
      </c>
      <c r="U5" s="3">
        <v>0.73</v>
      </c>
      <c r="V5" s="3">
        <v>0.91</v>
      </c>
      <c r="W5" s="3">
        <v>0.99</v>
      </c>
      <c r="X5" s="5">
        <v>-0.6544444444444445</v>
      </c>
    </row>
    <row r="6" spans="1:24" x14ac:dyDescent="0.3">
      <c r="A6" s="1" t="s">
        <v>4</v>
      </c>
      <c r="B6" s="3">
        <v>-0.97</v>
      </c>
      <c r="C6" s="3">
        <v>-13.08</v>
      </c>
      <c r="D6" s="3">
        <v>-12.88</v>
      </c>
      <c r="E6" s="3">
        <v>-4.2699999999999996</v>
      </c>
      <c r="F6" s="3">
        <v>-17.95</v>
      </c>
      <c r="G6" s="3">
        <v>-32.03</v>
      </c>
      <c r="H6" s="3">
        <v>-11.69</v>
      </c>
      <c r="I6" s="3">
        <v>-9.84</v>
      </c>
      <c r="J6" s="3">
        <v>-23.75</v>
      </c>
      <c r="K6" s="3">
        <v>-8.7799999999999994</v>
      </c>
      <c r="L6" s="3">
        <v>-11.87</v>
      </c>
      <c r="M6" s="3">
        <v>-17.18</v>
      </c>
      <c r="N6" s="3">
        <v>0.08</v>
      </c>
      <c r="O6" s="3">
        <v>-30.63</v>
      </c>
      <c r="P6" s="3">
        <v>1.4</v>
      </c>
      <c r="Q6" s="3">
        <v>0.98</v>
      </c>
      <c r="R6" s="3">
        <v>1.03</v>
      </c>
      <c r="S6" s="3">
        <v>0.94</v>
      </c>
      <c r="T6" s="3">
        <v>0.73</v>
      </c>
      <c r="U6" s="3">
        <v>0.91</v>
      </c>
      <c r="V6" s="3">
        <v>0.77</v>
      </c>
      <c r="W6" s="3">
        <v>0.95</v>
      </c>
      <c r="X6" s="3">
        <v>-3.15</v>
      </c>
    </row>
    <row r="7" spans="1:24" x14ac:dyDescent="0.3">
      <c r="A7" s="1" t="s">
        <v>5</v>
      </c>
      <c r="B7" s="3">
        <v>10.63</v>
      </c>
      <c r="C7" s="3">
        <v>9.67</v>
      </c>
      <c r="D7" s="3">
        <v>3.51</v>
      </c>
      <c r="E7" s="3">
        <v>12.19</v>
      </c>
      <c r="F7" s="3">
        <v>-0.3</v>
      </c>
      <c r="G7" s="3">
        <v>0.67</v>
      </c>
      <c r="H7" s="3">
        <v>-1.34</v>
      </c>
      <c r="I7" s="3">
        <v>-3.41</v>
      </c>
      <c r="J7" s="3">
        <v>-3.28</v>
      </c>
      <c r="K7" s="3">
        <v>0.26</v>
      </c>
      <c r="L7" s="3">
        <v>-21.36</v>
      </c>
      <c r="M7" s="3">
        <v>-15.7</v>
      </c>
      <c r="N7" s="3">
        <v>-0.01</v>
      </c>
      <c r="O7" s="3">
        <v>-46.22</v>
      </c>
      <c r="P7" s="3">
        <v>0.81</v>
      </c>
      <c r="Q7" s="3">
        <v>1.32</v>
      </c>
      <c r="R7" s="3">
        <v>0.98</v>
      </c>
      <c r="S7" s="3">
        <v>1.1100000000000001</v>
      </c>
      <c r="T7" s="3">
        <v>1.05</v>
      </c>
      <c r="U7" s="3">
        <v>1.46</v>
      </c>
      <c r="V7" s="3">
        <v>1.07</v>
      </c>
      <c r="W7" s="3">
        <v>1.28</v>
      </c>
      <c r="X7" s="3">
        <v>0.04</v>
      </c>
    </row>
    <row r="8" spans="1:24" x14ac:dyDescent="0.3">
      <c r="A8" s="1" t="s">
        <v>6</v>
      </c>
      <c r="B8" s="3">
        <v>-7.09</v>
      </c>
      <c r="C8" s="3">
        <v>-13.28</v>
      </c>
      <c r="D8" s="3">
        <v>-11.19</v>
      </c>
      <c r="E8" s="3">
        <v>-8.17</v>
      </c>
      <c r="F8" s="3">
        <v>-4.22</v>
      </c>
      <c r="G8" s="3">
        <v>-18.8</v>
      </c>
      <c r="H8" s="3">
        <v>-1.37</v>
      </c>
      <c r="I8" s="3">
        <v>-16.73</v>
      </c>
      <c r="J8" s="3">
        <v>-11.65</v>
      </c>
      <c r="K8" s="3">
        <v>-8.26</v>
      </c>
      <c r="L8" s="3">
        <v>-34.25</v>
      </c>
      <c r="M8" s="3">
        <v>-37.770000000000003</v>
      </c>
      <c r="N8" s="3">
        <v>-0.03</v>
      </c>
      <c r="O8" s="3">
        <v>-26.61</v>
      </c>
      <c r="P8" s="3">
        <v>1.01</v>
      </c>
      <c r="Q8" s="3">
        <v>1.1200000000000001</v>
      </c>
      <c r="R8" s="3">
        <v>0.77</v>
      </c>
      <c r="S8" s="3">
        <v>1.1100000000000001</v>
      </c>
      <c r="T8" s="3">
        <v>1.01</v>
      </c>
      <c r="U8" s="3">
        <v>1.18</v>
      </c>
      <c r="V8" s="3">
        <v>1.03</v>
      </c>
      <c r="W8" s="3">
        <v>1.1599999999999999</v>
      </c>
      <c r="X8" s="3">
        <v>-6.42</v>
      </c>
    </row>
    <row r="9" spans="1:24" x14ac:dyDescent="0.3">
      <c r="A9" s="1" t="s">
        <v>7</v>
      </c>
      <c r="B9" s="3">
        <v>22.27</v>
      </c>
      <c r="C9" s="3">
        <v>4.2699999999999996</v>
      </c>
      <c r="D9" s="3">
        <v>-8.89</v>
      </c>
      <c r="E9" s="3">
        <v>7.76</v>
      </c>
      <c r="F9" s="3">
        <v>6.75</v>
      </c>
      <c r="G9" s="3">
        <v>19.82</v>
      </c>
      <c r="H9" s="3">
        <v>18.59</v>
      </c>
      <c r="I9" s="3">
        <v>-1.33</v>
      </c>
      <c r="J9" s="3">
        <v>27.06</v>
      </c>
      <c r="K9" s="3">
        <v>9.1999999999999993</v>
      </c>
      <c r="L9" s="3">
        <v>23.79</v>
      </c>
      <c r="M9" s="3">
        <v>17.95</v>
      </c>
      <c r="N9" s="3">
        <v>-0.01</v>
      </c>
      <c r="O9" s="3">
        <v>26.23</v>
      </c>
      <c r="P9" s="3">
        <v>-0.34</v>
      </c>
      <c r="Q9" s="3">
        <v>1.27</v>
      </c>
      <c r="R9" s="3">
        <v>0.89</v>
      </c>
      <c r="S9" s="3">
        <v>1.1000000000000001</v>
      </c>
      <c r="T9" s="3">
        <v>1.03</v>
      </c>
      <c r="U9" s="3">
        <v>1.08</v>
      </c>
      <c r="V9" s="3">
        <v>1.04</v>
      </c>
      <c r="W9" s="3">
        <v>1.1000000000000001</v>
      </c>
      <c r="X9" s="3">
        <v>5.86</v>
      </c>
    </row>
    <row r="10" spans="1:24" x14ac:dyDescent="0.3">
      <c r="A10" s="1" t="s">
        <v>8</v>
      </c>
      <c r="B10" s="3">
        <v>19.5</v>
      </c>
      <c r="C10" s="3">
        <v>10.6</v>
      </c>
      <c r="D10" s="3">
        <v>-2.73</v>
      </c>
      <c r="E10" s="3">
        <v>18.149999999999999</v>
      </c>
      <c r="F10" s="3">
        <v>-6.96</v>
      </c>
      <c r="G10" s="3">
        <v>-16.899999999999999</v>
      </c>
      <c r="H10" s="3">
        <v>-1.28</v>
      </c>
      <c r="I10" s="3">
        <v>2.41</v>
      </c>
      <c r="J10" s="3">
        <v>-6.06</v>
      </c>
      <c r="K10" s="3">
        <v>-4.13</v>
      </c>
      <c r="L10" s="3">
        <v>-15.58</v>
      </c>
      <c r="M10" s="3">
        <v>-14.09</v>
      </c>
      <c r="N10" s="3">
        <v>0.02</v>
      </c>
      <c r="O10" s="3">
        <v>-25.77</v>
      </c>
      <c r="P10" s="3">
        <v>-0.02</v>
      </c>
      <c r="Q10" s="3">
        <v>0.97</v>
      </c>
      <c r="R10" s="3">
        <v>1.22</v>
      </c>
      <c r="S10" s="3">
        <v>1.28</v>
      </c>
      <c r="T10" s="3">
        <v>1.18</v>
      </c>
      <c r="U10" s="3">
        <v>1.02</v>
      </c>
      <c r="V10" s="3">
        <v>1.18</v>
      </c>
      <c r="W10" s="3">
        <v>0.91</v>
      </c>
      <c r="X10" s="3">
        <v>-1.99</v>
      </c>
    </row>
    <row r="11" spans="1:24" x14ac:dyDescent="0.3">
      <c r="A11" s="1" t="s">
        <v>9</v>
      </c>
      <c r="B11" s="3">
        <v>-10.32</v>
      </c>
      <c r="C11" s="3">
        <v>8.7899999999999991</v>
      </c>
      <c r="D11" s="3">
        <v>11.69</v>
      </c>
      <c r="E11" s="3">
        <v>-6.99</v>
      </c>
      <c r="F11" s="3">
        <v>-11.62</v>
      </c>
      <c r="G11" s="3">
        <v>-19.55</v>
      </c>
      <c r="H11" s="3">
        <v>-4.4800000000000004</v>
      </c>
      <c r="I11" s="3">
        <v>-16.72</v>
      </c>
      <c r="J11" s="3">
        <v>-10.86</v>
      </c>
      <c r="K11" s="3">
        <v>-9.1999999999999993</v>
      </c>
      <c r="L11" s="3">
        <v>2.62</v>
      </c>
      <c r="M11" s="3">
        <v>-3.08</v>
      </c>
      <c r="N11" s="3">
        <v>0</v>
      </c>
      <c r="O11" s="3">
        <v>5.53</v>
      </c>
      <c r="P11" s="3">
        <v>0.05</v>
      </c>
      <c r="Q11" s="3">
        <v>0.76</v>
      </c>
      <c r="R11" s="3">
        <v>1.1000000000000001</v>
      </c>
      <c r="S11" s="3">
        <v>1.18</v>
      </c>
      <c r="T11" s="3">
        <v>1.08</v>
      </c>
      <c r="U11" s="3">
        <v>0.87</v>
      </c>
      <c r="V11" s="3">
        <v>1.08</v>
      </c>
      <c r="W11" s="3">
        <v>0.68</v>
      </c>
      <c r="X11" s="3">
        <v>-4.16</v>
      </c>
    </row>
    <row r="12" spans="1:24" x14ac:dyDescent="0.3">
      <c r="A12" s="1" t="s">
        <v>10</v>
      </c>
      <c r="B12" s="3">
        <v>0.03</v>
      </c>
      <c r="C12" s="3">
        <v>8.41</v>
      </c>
      <c r="D12" s="3">
        <v>-6.82</v>
      </c>
      <c r="E12" s="3">
        <v>-3.89</v>
      </c>
      <c r="F12" s="3">
        <v>-1.19</v>
      </c>
      <c r="G12" s="3">
        <v>11.19</v>
      </c>
      <c r="H12" s="3">
        <v>9.81</v>
      </c>
      <c r="I12" s="3">
        <v>-31.34</v>
      </c>
      <c r="J12" s="3">
        <v>-9.35</v>
      </c>
      <c r="K12" s="3">
        <v>8.1199999999999992</v>
      </c>
      <c r="L12" s="3">
        <v>1.05</v>
      </c>
      <c r="M12" s="3">
        <v>5.48</v>
      </c>
      <c r="N12" s="3">
        <v>-0.01</v>
      </c>
      <c r="O12" s="3">
        <v>-1.81</v>
      </c>
      <c r="P12" s="3">
        <v>0.93</v>
      </c>
      <c r="Q12" s="3">
        <v>0.08</v>
      </c>
      <c r="R12" s="3">
        <v>1.07</v>
      </c>
      <c r="S12" s="3">
        <v>1.1200000000000001</v>
      </c>
      <c r="T12" s="3">
        <v>1.03</v>
      </c>
      <c r="U12" s="3">
        <v>0.09</v>
      </c>
      <c r="V12" s="3">
        <v>1.04</v>
      </c>
      <c r="W12" s="3">
        <v>0.09</v>
      </c>
      <c r="X12" s="3">
        <v>3.35</v>
      </c>
    </row>
    <row r="13" spans="1:24" x14ac:dyDescent="0.3">
      <c r="A13" s="1" t="s">
        <v>11</v>
      </c>
      <c r="B13" s="3">
        <v>-4.32</v>
      </c>
      <c r="C13" s="3">
        <v>-14.42</v>
      </c>
      <c r="D13" s="3">
        <v>27.68</v>
      </c>
      <c r="E13" s="3">
        <v>-2.4700000000000002</v>
      </c>
      <c r="F13" s="3">
        <v>6.86</v>
      </c>
      <c r="G13" s="3">
        <v>25.42</v>
      </c>
      <c r="H13" s="3">
        <v>9.99</v>
      </c>
      <c r="I13" s="3">
        <v>26.77</v>
      </c>
      <c r="J13" s="3">
        <v>-5.76</v>
      </c>
      <c r="K13" s="3">
        <v>5.51</v>
      </c>
      <c r="L13" s="3">
        <v>-18.399999999999999</v>
      </c>
      <c r="M13" s="3">
        <v>-16.23</v>
      </c>
      <c r="N13" s="3">
        <v>0</v>
      </c>
      <c r="O13" s="3">
        <v>-56.72</v>
      </c>
      <c r="P13" s="3">
        <v>0.75</v>
      </c>
      <c r="Q13" s="3">
        <v>1</v>
      </c>
      <c r="R13" s="3">
        <v>0.55000000000000004</v>
      </c>
      <c r="S13" s="3">
        <v>1.0900000000000001</v>
      </c>
      <c r="T13" s="3">
        <v>1</v>
      </c>
      <c r="U13" s="3">
        <v>0.62</v>
      </c>
      <c r="V13" s="3">
        <v>1.01</v>
      </c>
      <c r="W13" s="3">
        <v>0.7</v>
      </c>
      <c r="X13" s="3">
        <v>1.06</v>
      </c>
    </row>
    <row r="14" spans="1:24" x14ac:dyDescent="0.3">
      <c r="A14" s="1" t="s">
        <v>12</v>
      </c>
      <c r="B14" s="3">
        <v>-8.1</v>
      </c>
      <c r="C14" s="3">
        <v>-1.88</v>
      </c>
      <c r="D14" s="3">
        <v>4.05</v>
      </c>
      <c r="E14" s="3">
        <v>-0.54</v>
      </c>
      <c r="F14" s="3">
        <v>-12.63</v>
      </c>
      <c r="G14" s="3">
        <v>-13.64</v>
      </c>
      <c r="H14" s="3">
        <v>-10.119999999999999</v>
      </c>
      <c r="I14" s="3">
        <v>1.9</v>
      </c>
      <c r="J14" s="3">
        <v>-12.99</v>
      </c>
      <c r="K14" s="3">
        <v>-5.73</v>
      </c>
      <c r="L14" s="3">
        <v>-1.0900000000000001</v>
      </c>
      <c r="M14" s="3">
        <v>-3.62</v>
      </c>
      <c r="N14" s="3">
        <v>0</v>
      </c>
      <c r="O14" s="3">
        <v>-29.43</v>
      </c>
      <c r="P14" s="3">
        <v>0.96</v>
      </c>
      <c r="Q14" s="3">
        <v>1.07</v>
      </c>
      <c r="R14" s="3">
        <v>1.0900000000000001</v>
      </c>
      <c r="S14" s="3">
        <v>1.2</v>
      </c>
      <c r="T14" s="3">
        <v>1.1299999999999999</v>
      </c>
      <c r="U14" s="3">
        <v>1.01</v>
      </c>
      <c r="V14" s="3">
        <v>1.1299999999999999</v>
      </c>
      <c r="W14" s="3">
        <v>1.1100000000000001</v>
      </c>
      <c r="X14" s="3">
        <v>-0.48</v>
      </c>
    </row>
    <row r="15" spans="1:24" x14ac:dyDescent="0.3">
      <c r="A15" s="1" t="s">
        <v>13</v>
      </c>
      <c r="B15" s="3">
        <v>6.41</v>
      </c>
      <c r="C15" s="3">
        <v>1.39</v>
      </c>
      <c r="D15" s="3">
        <v>6.33</v>
      </c>
      <c r="E15" s="3">
        <v>17.190000000000001</v>
      </c>
      <c r="F15" s="3">
        <v>12.03</v>
      </c>
      <c r="G15" s="3">
        <v>33.69</v>
      </c>
      <c r="H15" s="3">
        <v>-1.89</v>
      </c>
      <c r="I15" s="3">
        <v>23.79</v>
      </c>
      <c r="J15" s="3">
        <v>22.77</v>
      </c>
      <c r="K15" s="3">
        <v>6.29</v>
      </c>
      <c r="L15" s="3">
        <v>35.11</v>
      </c>
      <c r="M15" s="3">
        <v>39.840000000000003</v>
      </c>
      <c r="N15" s="3">
        <v>0</v>
      </c>
      <c r="O15" s="3">
        <v>140.46</v>
      </c>
      <c r="P15" s="3">
        <v>0.87</v>
      </c>
      <c r="Q15" s="3">
        <v>0.4</v>
      </c>
      <c r="R15" s="3">
        <v>1.1299999999999999</v>
      </c>
      <c r="S15" s="3">
        <v>0.49</v>
      </c>
      <c r="T15" s="3">
        <v>1.1000000000000001</v>
      </c>
      <c r="U15" s="3">
        <v>0.34</v>
      </c>
      <c r="V15" s="3">
        <v>1.1200000000000001</v>
      </c>
      <c r="W15" s="3">
        <v>-0.63</v>
      </c>
      <c r="X15" s="3">
        <v>3.31</v>
      </c>
    </row>
    <row r="16" spans="1:24" x14ac:dyDescent="0.3">
      <c r="A16" s="1" t="s">
        <v>14</v>
      </c>
      <c r="B16" s="3">
        <v>-3.18</v>
      </c>
      <c r="C16" s="3">
        <v>0.46</v>
      </c>
      <c r="D16" s="3">
        <v>-9.7200000000000006</v>
      </c>
      <c r="E16" s="3">
        <v>1</v>
      </c>
      <c r="F16" s="3">
        <v>-8.8800000000000008</v>
      </c>
      <c r="G16" s="3">
        <v>18.829999999999998</v>
      </c>
      <c r="H16" s="3">
        <v>-6.86</v>
      </c>
      <c r="I16" s="3">
        <v>17.43</v>
      </c>
      <c r="J16" s="3">
        <v>-8.6300000000000008</v>
      </c>
      <c r="K16" s="3">
        <v>-2.5</v>
      </c>
      <c r="L16" s="3">
        <v>1.63</v>
      </c>
      <c r="M16" s="3">
        <v>0.03</v>
      </c>
      <c r="N16" s="3">
        <v>-0.02</v>
      </c>
      <c r="O16" s="3">
        <v>-8.5</v>
      </c>
      <c r="P16" s="3">
        <v>1.18</v>
      </c>
      <c r="Q16" s="3">
        <v>-0.83</v>
      </c>
      <c r="R16" s="3">
        <v>0.89</v>
      </c>
      <c r="S16" s="3">
        <v>0.18</v>
      </c>
      <c r="T16" s="3">
        <v>0.88</v>
      </c>
      <c r="U16" s="3">
        <v>-1.07</v>
      </c>
      <c r="V16" s="3">
        <v>0.93</v>
      </c>
      <c r="W16" s="3">
        <v>-0.48</v>
      </c>
      <c r="X16" s="3">
        <v>-1.18</v>
      </c>
    </row>
    <row r="17" spans="1:24" x14ac:dyDescent="0.3">
      <c r="A17" s="1" t="s">
        <v>15</v>
      </c>
      <c r="B17" s="3">
        <v>-7.09</v>
      </c>
      <c r="C17" s="3">
        <v>-1.53</v>
      </c>
      <c r="D17" s="3">
        <v>-3.83</v>
      </c>
      <c r="E17" s="3">
        <v>-2.0499999999999998</v>
      </c>
      <c r="F17" s="3">
        <v>15.18</v>
      </c>
      <c r="G17" s="3">
        <v>19.670000000000002</v>
      </c>
      <c r="H17" s="3">
        <v>-2.1</v>
      </c>
      <c r="I17" s="3">
        <v>21.15</v>
      </c>
      <c r="J17" s="3">
        <v>9.61</v>
      </c>
      <c r="K17" s="3">
        <v>3.71</v>
      </c>
      <c r="L17" s="3">
        <v>19.14</v>
      </c>
      <c r="M17" s="3">
        <v>23.03</v>
      </c>
      <c r="N17" s="3">
        <v>-0.01</v>
      </c>
      <c r="O17" s="3">
        <v>-3.4</v>
      </c>
      <c r="P17" s="3">
        <v>1.05</v>
      </c>
      <c r="Q17" s="3">
        <v>0.82</v>
      </c>
      <c r="R17" s="3">
        <v>1.24</v>
      </c>
      <c r="S17" s="3">
        <v>0.86</v>
      </c>
      <c r="T17" s="3">
        <v>1.17</v>
      </c>
      <c r="U17" s="3">
        <v>1.23</v>
      </c>
      <c r="V17" s="3">
        <v>1.18</v>
      </c>
      <c r="W17" s="3">
        <v>1.1200000000000001</v>
      </c>
      <c r="X17" s="3">
        <v>-0.16</v>
      </c>
    </row>
    <row r="18" spans="1:24" x14ac:dyDescent="0.3">
      <c r="A18" s="1" t="s">
        <v>16</v>
      </c>
      <c r="B18" s="3">
        <v>13.85</v>
      </c>
      <c r="C18" s="3">
        <v>4.84</v>
      </c>
      <c r="D18" s="3">
        <v>-9.83</v>
      </c>
      <c r="E18" s="3">
        <v>9.59</v>
      </c>
      <c r="F18" s="3">
        <v>3.48</v>
      </c>
      <c r="G18" s="3">
        <v>-0.1</v>
      </c>
      <c r="H18" s="3">
        <v>1.28</v>
      </c>
      <c r="I18" s="3">
        <v>13.39</v>
      </c>
      <c r="J18" s="3">
        <v>2.09</v>
      </c>
      <c r="K18" s="3">
        <v>1.59</v>
      </c>
      <c r="L18" s="3">
        <v>2.7</v>
      </c>
      <c r="M18" s="3">
        <v>2.78</v>
      </c>
      <c r="N18" s="3">
        <v>0.02</v>
      </c>
      <c r="O18" s="3">
        <v>7.85</v>
      </c>
      <c r="P18" s="3">
        <v>0.95</v>
      </c>
      <c r="Q18" s="3">
        <v>0.38</v>
      </c>
      <c r="R18" s="3">
        <v>0.87</v>
      </c>
      <c r="S18" s="3">
        <v>0.79</v>
      </c>
      <c r="T18" s="3">
        <v>0.89</v>
      </c>
      <c r="U18" s="3">
        <v>0.82</v>
      </c>
      <c r="V18" s="3">
        <v>0.88</v>
      </c>
      <c r="W18" s="3">
        <v>0.49</v>
      </c>
      <c r="X18" s="3">
        <v>0.94</v>
      </c>
    </row>
    <row r="19" spans="1:24" x14ac:dyDescent="0.3">
      <c r="A19" s="1" t="s">
        <v>17</v>
      </c>
      <c r="B19" s="3">
        <v>10.210000000000001</v>
      </c>
      <c r="C19" s="3">
        <v>1.65</v>
      </c>
      <c r="D19" s="3">
        <v>-11.86</v>
      </c>
      <c r="E19" s="3">
        <v>4.1100000000000003</v>
      </c>
      <c r="F19" s="3">
        <v>14.47</v>
      </c>
      <c r="G19" s="3">
        <v>36.340000000000003</v>
      </c>
      <c r="H19" s="3">
        <v>-0.04</v>
      </c>
      <c r="I19" s="3">
        <v>10.15</v>
      </c>
      <c r="J19" s="3">
        <v>14.35</v>
      </c>
      <c r="K19" s="3">
        <v>0.48</v>
      </c>
      <c r="L19" s="3">
        <v>-6.46</v>
      </c>
      <c r="M19" s="3">
        <v>-7</v>
      </c>
      <c r="N19" s="3">
        <v>0.02</v>
      </c>
      <c r="O19" s="3">
        <v>-8.7899999999999991</v>
      </c>
      <c r="P19" s="3">
        <v>0.56999999999999995</v>
      </c>
      <c r="Q19" s="3">
        <v>2.86</v>
      </c>
      <c r="R19" s="3">
        <v>1.2</v>
      </c>
      <c r="S19" s="3">
        <v>1.27</v>
      </c>
      <c r="T19" s="3">
        <v>1.1299999999999999</v>
      </c>
      <c r="U19" s="3">
        <v>2.85</v>
      </c>
      <c r="V19" s="3">
        <v>1.1599999999999999</v>
      </c>
      <c r="W19" s="3">
        <v>2.33</v>
      </c>
      <c r="X19" s="3">
        <v>-0.74</v>
      </c>
    </row>
    <row r="20" spans="1:24" x14ac:dyDescent="0.3">
      <c r="A20" s="1" t="s">
        <v>18</v>
      </c>
      <c r="B20" s="3">
        <v>20.46</v>
      </c>
      <c r="C20" s="3">
        <v>9.01</v>
      </c>
      <c r="D20" s="3">
        <v>0.64</v>
      </c>
      <c r="E20" s="3">
        <v>13.45</v>
      </c>
      <c r="F20" s="3">
        <v>-2.58</v>
      </c>
      <c r="G20" s="3">
        <v>11.82</v>
      </c>
      <c r="H20" s="3">
        <v>-9.5500000000000007</v>
      </c>
      <c r="I20" s="3">
        <v>8.41</v>
      </c>
      <c r="J20" s="3">
        <v>8.11</v>
      </c>
      <c r="K20" s="3">
        <v>6.51</v>
      </c>
      <c r="L20" s="3">
        <v>5.15</v>
      </c>
      <c r="M20" s="3">
        <v>11.97</v>
      </c>
      <c r="N20" s="3">
        <v>0.01</v>
      </c>
      <c r="O20" s="3">
        <v>-9.25</v>
      </c>
      <c r="P20" s="3">
        <v>0.26</v>
      </c>
      <c r="Q20" s="3">
        <v>2.27</v>
      </c>
      <c r="R20" s="3">
        <v>1.24</v>
      </c>
      <c r="S20" s="3">
        <v>1.22</v>
      </c>
      <c r="T20" s="3">
        <v>1.0900000000000001</v>
      </c>
      <c r="U20" s="3">
        <v>2.39</v>
      </c>
      <c r="V20" s="3">
        <v>1.1100000000000001</v>
      </c>
      <c r="W20" s="3">
        <v>1.86</v>
      </c>
      <c r="X20" s="3">
        <v>1.34</v>
      </c>
    </row>
    <row r="21" spans="1:24" x14ac:dyDescent="0.3">
      <c r="A21" s="1" t="s">
        <v>19</v>
      </c>
      <c r="B21" s="3">
        <v>5.35</v>
      </c>
      <c r="C21" s="3">
        <v>0.84</v>
      </c>
      <c r="D21" s="3">
        <v>7.69</v>
      </c>
      <c r="E21" s="3">
        <v>-2.4500000000000002</v>
      </c>
      <c r="F21" s="3">
        <v>10.88</v>
      </c>
      <c r="G21" s="3">
        <v>10.47</v>
      </c>
      <c r="H21" s="3">
        <v>1.28</v>
      </c>
      <c r="I21" s="3">
        <v>11.02</v>
      </c>
      <c r="J21" s="3">
        <v>2.5499999999999998</v>
      </c>
      <c r="K21" s="3">
        <v>3.29</v>
      </c>
      <c r="L21" s="3">
        <v>-3.89</v>
      </c>
      <c r="M21" s="3">
        <v>-4.09</v>
      </c>
      <c r="N21" s="3">
        <v>-0.02</v>
      </c>
      <c r="O21" s="3">
        <v>25.53</v>
      </c>
      <c r="P21" s="3">
        <v>0.46</v>
      </c>
      <c r="Q21" s="3">
        <v>2.1800000000000002</v>
      </c>
      <c r="R21" s="3">
        <v>1.1200000000000001</v>
      </c>
      <c r="S21" s="3">
        <v>1.25</v>
      </c>
      <c r="T21" s="3">
        <v>1.06</v>
      </c>
      <c r="U21" s="3">
        <v>2.4900000000000002</v>
      </c>
      <c r="V21" s="3">
        <v>1.06</v>
      </c>
      <c r="W21" s="3">
        <v>1.95</v>
      </c>
      <c r="X21" s="3">
        <v>1.28</v>
      </c>
    </row>
    <row r="22" spans="1:24" x14ac:dyDescent="0.3">
      <c r="A22" s="1" t="s">
        <v>20</v>
      </c>
      <c r="B22" s="3">
        <v>6.58</v>
      </c>
      <c r="C22" s="3">
        <v>-4.17</v>
      </c>
      <c r="D22" s="3">
        <v>-3.06</v>
      </c>
      <c r="E22" s="3">
        <v>-0.56000000000000005</v>
      </c>
      <c r="F22" s="3">
        <v>2.6</v>
      </c>
      <c r="G22" s="3">
        <v>5.62</v>
      </c>
      <c r="H22" s="3">
        <v>3.94</v>
      </c>
      <c r="I22" s="3">
        <v>-7.13</v>
      </c>
      <c r="J22" s="3">
        <v>3.24</v>
      </c>
      <c r="K22" s="3">
        <v>-1.63</v>
      </c>
      <c r="L22" s="3">
        <v>-6.83</v>
      </c>
      <c r="M22" s="3">
        <v>-11.29</v>
      </c>
      <c r="N22" s="3">
        <v>0.01</v>
      </c>
      <c r="O22" s="3">
        <v>-16.8</v>
      </c>
      <c r="P22" s="3">
        <v>0.56999999999999995</v>
      </c>
      <c r="Q22" s="3">
        <v>1.93</v>
      </c>
      <c r="R22" s="3">
        <v>1.1200000000000001</v>
      </c>
      <c r="S22" s="3">
        <v>1.28</v>
      </c>
      <c r="T22" s="3">
        <v>1.1499999999999999</v>
      </c>
      <c r="U22" s="3">
        <v>1.8</v>
      </c>
      <c r="V22" s="3">
        <v>1.17</v>
      </c>
      <c r="W22" s="3">
        <v>1.67</v>
      </c>
      <c r="X22" s="3">
        <v>0.42</v>
      </c>
    </row>
    <row r="23" spans="1:24" x14ac:dyDescent="0.3">
      <c r="A23" s="1" t="s">
        <v>21</v>
      </c>
      <c r="B23" s="3">
        <v>8.4499999999999993</v>
      </c>
      <c r="C23" s="3">
        <v>0.24</v>
      </c>
      <c r="D23" s="3">
        <v>3.84</v>
      </c>
      <c r="E23" s="3">
        <v>0.88</v>
      </c>
      <c r="F23" s="3">
        <v>-3.9</v>
      </c>
      <c r="G23" s="3">
        <v>-11.86</v>
      </c>
      <c r="H23" s="3">
        <v>-7.01</v>
      </c>
      <c r="I23" s="3">
        <v>1.46</v>
      </c>
      <c r="J23" s="3">
        <v>-7.89</v>
      </c>
      <c r="K23" s="3">
        <v>-4.74</v>
      </c>
      <c r="L23" s="3">
        <v>5.34</v>
      </c>
      <c r="M23" s="3">
        <v>4</v>
      </c>
      <c r="N23" s="3">
        <v>0</v>
      </c>
      <c r="O23" s="3">
        <v>8.41</v>
      </c>
      <c r="P23" s="3">
        <v>0.6</v>
      </c>
      <c r="Q23" s="3">
        <v>1.02</v>
      </c>
      <c r="R23" s="3">
        <v>0.8</v>
      </c>
      <c r="S23" s="3">
        <v>1.1599999999999999</v>
      </c>
      <c r="T23" s="3">
        <v>0.97</v>
      </c>
      <c r="U23" s="3">
        <v>0.92</v>
      </c>
      <c r="V23" s="3">
        <v>1</v>
      </c>
      <c r="W23" s="3">
        <v>0.93</v>
      </c>
      <c r="X23" s="3">
        <v>-1.05</v>
      </c>
    </row>
    <row r="24" spans="1:24" x14ac:dyDescent="0.3">
      <c r="A24" s="1" t="s">
        <v>22</v>
      </c>
      <c r="B24" s="3">
        <v>0.28999999999999998</v>
      </c>
      <c r="C24" s="3">
        <v>-1.37</v>
      </c>
      <c r="D24" s="3">
        <v>2.1</v>
      </c>
      <c r="E24" s="3">
        <v>2.48</v>
      </c>
      <c r="F24" s="3">
        <v>-5.18</v>
      </c>
      <c r="G24" s="3">
        <v>-6.25</v>
      </c>
      <c r="H24" s="3">
        <v>2.08</v>
      </c>
      <c r="I24" s="3">
        <v>0.35</v>
      </c>
      <c r="J24" s="3">
        <v>4.7</v>
      </c>
      <c r="K24" s="3">
        <v>-2.17</v>
      </c>
      <c r="L24" s="3">
        <v>27.24</v>
      </c>
      <c r="M24" s="3">
        <v>28.55</v>
      </c>
      <c r="N24" s="3">
        <v>-0.02</v>
      </c>
      <c r="O24" s="3">
        <v>80.040000000000006</v>
      </c>
      <c r="P24" s="3">
        <v>0.57999999999999996</v>
      </c>
      <c r="Q24" s="3">
        <v>1.23</v>
      </c>
      <c r="R24" s="3">
        <v>0.65</v>
      </c>
      <c r="S24" s="3">
        <v>1.1399999999999999</v>
      </c>
      <c r="T24" s="3">
        <v>0.99</v>
      </c>
      <c r="U24" s="3">
        <v>0.96</v>
      </c>
      <c r="V24" s="3">
        <v>0.98</v>
      </c>
      <c r="W24" s="3">
        <v>0.99</v>
      </c>
      <c r="X24" s="3">
        <v>-1.48</v>
      </c>
    </row>
    <row r="25" spans="1:24" x14ac:dyDescent="0.3">
      <c r="A25" s="1" t="s">
        <v>23</v>
      </c>
      <c r="B25" s="3">
        <v>7.42</v>
      </c>
      <c r="C25" s="3">
        <v>17.86</v>
      </c>
      <c r="D25" s="3">
        <v>10.33</v>
      </c>
      <c r="E25" s="3">
        <v>12.24</v>
      </c>
      <c r="F25" s="3">
        <v>6.81</v>
      </c>
      <c r="G25" s="3">
        <v>14.69</v>
      </c>
      <c r="H25" s="3">
        <v>12.58</v>
      </c>
      <c r="I25" s="3">
        <v>8.59</v>
      </c>
      <c r="J25" s="3">
        <v>9.77</v>
      </c>
      <c r="K25" s="3">
        <v>9.17</v>
      </c>
      <c r="L25" s="3">
        <v>7.51</v>
      </c>
      <c r="M25" s="3">
        <v>8.7799999999999994</v>
      </c>
      <c r="N25" s="3">
        <v>0.01</v>
      </c>
      <c r="O25" s="3">
        <v>53.8</v>
      </c>
      <c r="P25" s="3">
        <v>0.62</v>
      </c>
      <c r="Q25" s="3">
        <v>0.8</v>
      </c>
      <c r="R25" s="3">
        <v>1.2</v>
      </c>
      <c r="S25" s="3">
        <v>1.1000000000000001</v>
      </c>
      <c r="T25" s="3">
        <v>0.9</v>
      </c>
      <c r="U25" s="3">
        <v>1.1599999999999999</v>
      </c>
      <c r="V25" s="3">
        <v>0.9</v>
      </c>
      <c r="W25" s="3">
        <v>0.82</v>
      </c>
      <c r="X25" s="3">
        <v>3.99</v>
      </c>
    </row>
    <row r="26" spans="1:24" x14ac:dyDescent="0.3">
      <c r="A26" s="1" t="s">
        <v>24</v>
      </c>
      <c r="B26" s="3">
        <v>3.7</v>
      </c>
      <c r="C26" s="3">
        <v>8.44</v>
      </c>
      <c r="D26" s="3">
        <v>4.54</v>
      </c>
      <c r="E26" s="3">
        <v>2.71</v>
      </c>
      <c r="F26" s="3">
        <v>5.4</v>
      </c>
      <c r="G26" s="3">
        <v>5.89</v>
      </c>
      <c r="H26" s="3">
        <v>4.53</v>
      </c>
      <c r="I26" s="3">
        <v>8.19</v>
      </c>
      <c r="J26" s="3">
        <v>4</v>
      </c>
      <c r="K26" s="3">
        <v>4.58</v>
      </c>
      <c r="L26" s="3">
        <v>15.34</v>
      </c>
      <c r="M26" s="3">
        <v>12.07</v>
      </c>
      <c r="N26" s="3">
        <v>0.01</v>
      </c>
      <c r="O26" s="3">
        <v>71.34</v>
      </c>
      <c r="P26" s="3">
        <v>0.9</v>
      </c>
      <c r="Q26" s="3">
        <v>1.04</v>
      </c>
      <c r="R26" s="3">
        <v>1.02</v>
      </c>
      <c r="S26" s="3">
        <v>1.07</v>
      </c>
      <c r="T26" s="3">
        <v>0.89</v>
      </c>
      <c r="U26" s="3">
        <v>1.1100000000000001</v>
      </c>
      <c r="V26" s="3">
        <v>0.91</v>
      </c>
      <c r="W26" s="3">
        <v>1.1100000000000001</v>
      </c>
      <c r="X26" s="3">
        <v>3.53</v>
      </c>
    </row>
    <row r="27" spans="1:24" x14ac:dyDescent="0.3">
      <c r="A27" s="1" t="s">
        <v>25</v>
      </c>
      <c r="B27" s="3">
        <v>9.4499999999999993</v>
      </c>
      <c r="C27" s="3">
        <v>-3.45</v>
      </c>
      <c r="D27" s="3">
        <v>-12.23</v>
      </c>
      <c r="E27" s="3">
        <v>1.91</v>
      </c>
      <c r="F27" s="3">
        <v>0.28999999999999998</v>
      </c>
      <c r="G27" s="3">
        <v>24.24</v>
      </c>
      <c r="H27" s="3">
        <v>-0.64</v>
      </c>
      <c r="I27" s="3">
        <v>10.220000000000001</v>
      </c>
      <c r="J27" s="3">
        <v>2.15</v>
      </c>
      <c r="K27" s="3">
        <v>1.61</v>
      </c>
      <c r="L27" s="3">
        <v>-0.67</v>
      </c>
      <c r="M27" s="3">
        <v>0.75</v>
      </c>
      <c r="N27" s="3">
        <v>0.01</v>
      </c>
      <c r="O27" s="3">
        <v>-4.41</v>
      </c>
      <c r="P27" s="3">
        <v>0.76</v>
      </c>
      <c r="Q27" s="3">
        <v>1.87</v>
      </c>
      <c r="R27" s="3">
        <v>0.89</v>
      </c>
      <c r="S27" s="3">
        <v>1.22</v>
      </c>
      <c r="T27" s="3">
        <v>0.97</v>
      </c>
      <c r="U27" s="3">
        <v>1.6</v>
      </c>
      <c r="V27" s="3">
        <v>0.98</v>
      </c>
      <c r="W27" s="3">
        <v>1.69</v>
      </c>
      <c r="X27" s="3">
        <v>-0.17</v>
      </c>
    </row>
    <row r="28" spans="1:24" x14ac:dyDescent="0.3">
      <c r="A28" s="1" t="s">
        <v>26</v>
      </c>
      <c r="B28" s="3">
        <v>-1.52</v>
      </c>
      <c r="C28" s="3">
        <v>6.99</v>
      </c>
      <c r="D28" s="3">
        <v>-1.1399999999999999</v>
      </c>
      <c r="E28" s="3">
        <v>2.5</v>
      </c>
      <c r="F28" s="3">
        <v>-1.17</v>
      </c>
      <c r="G28" s="3">
        <v>28.58</v>
      </c>
      <c r="H28" s="3">
        <v>-2.72</v>
      </c>
      <c r="I28" s="3">
        <v>25.76</v>
      </c>
      <c r="J28" s="3">
        <v>13.89</v>
      </c>
      <c r="K28" s="3">
        <v>5.21</v>
      </c>
      <c r="L28" s="3">
        <v>46.73</v>
      </c>
      <c r="M28" s="3">
        <v>43.72</v>
      </c>
      <c r="N28" s="3">
        <v>-0.04</v>
      </c>
      <c r="O28" s="3">
        <v>29.56</v>
      </c>
      <c r="P28" s="3">
        <v>1.17</v>
      </c>
      <c r="Q28" s="3">
        <v>2.67</v>
      </c>
      <c r="R28" s="3">
        <v>0.76</v>
      </c>
      <c r="S28" s="3">
        <v>1</v>
      </c>
      <c r="T28" s="3">
        <v>0.8</v>
      </c>
      <c r="U28" s="3">
        <v>2.37</v>
      </c>
      <c r="V28" s="3">
        <v>0.81</v>
      </c>
      <c r="W28" s="3">
        <v>2.5499999999999998</v>
      </c>
      <c r="X28" s="3">
        <v>0.41</v>
      </c>
    </row>
    <row r="29" spans="1:24" x14ac:dyDescent="0.3">
      <c r="A29" s="1" t="s">
        <v>27</v>
      </c>
      <c r="B29" s="3">
        <v>-6.93</v>
      </c>
      <c r="C29" s="3">
        <v>2.84</v>
      </c>
      <c r="D29" s="3">
        <v>-5.13</v>
      </c>
      <c r="E29" s="3">
        <v>-1.44</v>
      </c>
      <c r="F29" s="3">
        <v>9.01</v>
      </c>
      <c r="G29" s="3">
        <v>14.22</v>
      </c>
      <c r="H29" s="3">
        <v>12.69</v>
      </c>
      <c r="I29" s="3">
        <v>-0.93</v>
      </c>
      <c r="J29" s="3">
        <v>2.0499999999999998</v>
      </c>
      <c r="K29" s="3">
        <v>3.28</v>
      </c>
      <c r="L29" s="3">
        <v>13.38</v>
      </c>
      <c r="M29" s="3">
        <v>16.559999999999999</v>
      </c>
      <c r="N29" s="3">
        <v>0.02</v>
      </c>
      <c r="O29" s="3">
        <v>61.38</v>
      </c>
      <c r="P29" s="3">
        <v>0.5</v>
      </c>
      <c r="Q29" s="3">
        <v>1.1599999999999999</v>
      </c>
      <c r="R29" s="3">
        <v>0.8</v>
      </c>
      <c r="S29" s="3">
        <v>1.03</v>
      </c>
      <c r="T29" s="3">
        <v>0.82</v>
      </c>
      <c r="U29" s="3">
        <v>0.98</v>
      </c>
      <c r="V29" s="3">
        <v>0.84</v>
      </c>
      <c r="W29" s="3">
        <v>1.1000000000000001</v>
      </c>
      <c r="X29" s="3">
        <v>1.29</v>
      </c>
    </row>
    <row r="30" spans="1:24" x14ac:dyDescent="0.3">
      <c r="A30" s="1" t="s">
        <v>28</v>
      </c>
      <c r="B30" s="3">
        <v>15.62</v>
      </c>
      <c r="C30" s="3">
        <v>-9.42</v>
      </c>
      <c r="D30" s="3">
        <v>4.04</v>
      </c>
      <c r="E30" s="3">
        <v>-3.14</v>
      </c>
      <c r="F30" s="3">
        <v>7.85</v>
      </c>
      <c r="G30" s="3">
        <v>-4.38</v>
      </c>
      <c r="H30" s="3">
        <v>-5.15</v>
      </c>
      <c r="I30" s="3">
        <v>-11.41</v>
      </c>
      <c r="J30" s="3">
        <v>-2.98</v>
      </c>
      <c r="K30" s="3">
        <v>-4.01</v>
      </c>
      <c r="L30" s="3">
        <v>-13.16</v>
      </c>
      <c r="M30" s="3">
        <v>-15</v>
      </c>
      <c r="N30" s="3">
        <v>-0.01</v>
      </c>
      <c r="O30" s="3">
        <v>-37.42</v>
      </c>
      <c r="P30" s="3">
        <v>0.72</v>
      </c>
      <c r="Q30" s="3">
        <v>0.78</v>
      </c>
      <c r="R30" s="3">
        <v>0.6</v>
      </c>
      <c r="S30" s="3">
        <v>0.95</v>
      </c>
      <c r="T30" s="3">
        <v>0.88</v>
      </c>
      <c r="U30" s="3">
        <v>0.5</v>
      </c>
      <c r="V30" s="3">
        <v>0.9</v>
      </c>
      <c r="W30" s="3">
        <v>0.79</v>
      </c>
      <c r="X30" s="3">
        <v>-0.82</v>
      </c>
    </row>
    <row r="31" spans="1:24" x14ac:dyDescent="0.3">
      <c r="A31" s="1" t="s">
        <v>29</v>
      </c>
      <c r="B31" s="3">
        <v>-3.63</v>
      </c>
      <c r="C31" s="3">
        <v>-1</v>
      </c>
      <c r="D31" s="3">
        <v>-0.14000000000000001</v>
      </c>
      <c r="E31" s="3">
        <v>-1.0900000000000001</v>
      </c>
      <c r="F31" s="3">
        <v>5.97</v>
      </c>
      <c r="G31" s="3">
        <v>26.89</v>
      </c>
      <c r="H31" s="3">
        <v>-1.37</v>
      </c>
      <c r="I31" s="3">
        <v>8.52</v>
      </c>
      <c r="J31" s="3">
        <v>0.82</v>
      </c>
      <c r="K31" s="3">
        <v>5.03</v>
      </c>
      <c r="L31" s="3">
        <v>15.36</v>
      </c>
      <c r="M31" s="3">
        <v>11.3</v>
      </c>
      <c r="N31" s="3">
        <v>0.02</v>
      </c>
      <c r="O31" s="3">
        <v>30.46</v>
      </c>
      <c r="P31" s="3">
        <v>0.8</v>
      </c>
      <c r="Q31" s="3">
        <v>0.95</v>
      </c>
      <c r="R31" s="3">
        <v>0.84</v>
      </c>
      <c r="S31" s="3">
        <v>0.89</v>
      </c>
      <c r="T31" s="3">
        <v>0.82</v>
      </c>
      <c r="U31" s="3">
        <v>0.86</v>
      </c>
      <c r="V31" s="3">
        <v>0.83</v>
      </c>
      <c r="W31" s="3">
        <v>0.97</v>
      </c>
      <c r="X31" s="3">
        <v>0.83</v>
      </c>
    </row>
    <row r="32" spans="1:24" x14ac:dyDescent="0.3">
      <c r="A32" s="1" t="s">
        <v>30</v>
      </c>
      <c r="B32" s="3">
        <v>0.89</v>
      </c>
      <c r="C32" s="3">
        <v>5.34</v>
      </c>
      <c r="D32" s="3">
        <v>-1.55</v>
      </c>
      <c r="E32" s="3">
        <v>0.93</v>
      </c>
      <c r="F32" s="3">
        <v>5.72</v>
      </c>
      <c r="G32" s="3">
        <v>12.69</v>
      </c>
      <c r="H32" s="3">
        <v>2.5</v>
      </c>
      <c r="I32" s="3">
        <v>8.1199999999999992</v>
      </c>
      <c r="J32" s="3">
        <v>9.5299999999999994</v>
      </c>
      <c r="K32" s="3">
        <v>3.57</v>
      </c>
      <c r="L32" s="3">
        <v>-5.78</v>
      </c>
      <c r="M32" s="3">
        <v>-7.13</v>
      </c>
      <c r="N32" s="3">
        <v>-0.02</v>
      </c>
      <c r="O32" s="3">
        <v>-11.56</v>
      </c>
      <c r="P32" s="3">
        <v>0.55000000000000004</v>
      </c>
      <c r="Q32" s="3">
        <v>1.1299999999999999</v>
      </c>
      <c r="R32" s="3">
        <v>0.74</v>
      </c>
      <c r="S32" s="3">
        <v>0.86</v>
      </c>
      <c r="T32" s="3">
        <v>0.8</v>
      </c>
      <c r="U32" s="3">
        <v>0.74</v>
      </c>
      <c r="V32" s="3">
        <v>0.81</v>
      </c>
      <c r="W32" s="3">
        <v>0.98</v>
      </c>
      <c r="X32" s="3">
        <v>1.25</v>
      </c>
    </row>
    <row r="33" spans="1:24" x14ac:dyDescent="0.3">
      <c r="A33" s="1" t="s">
        <v>31</v>
      </c>
      <c r="B33" s="3">
        <v>-1.68</v>
      </c>
      <c r="C33" s="3">
        <v>4.59</v>
      </c>
      <c r="D33" s="3">
        <v>-0.95</v>
      </c>
      <c r="E33" s="3">
        <v>-0.6</v>
      </c>
      <c r="F33" s="3">
        <v>-5.82</v>
      </c>
      <c r="G33" s="3">
        <v>-5.28</v>
      </c>
      <c r="H33" s="3">
        <v>12.31</v>
      </c>
      <c r="I33" s="3">
        <v>-5.83</v>
      </c>
      <c r="J33" s="3">
        <v>-3.24</v>
      </c>
      <c r="K33" s="3">
        <v>1.1599999999999999</v>
      </c>
      <c r="L33" s="3">
        <v>8.82</v>
      </c>
      <c r="M33" s="3">
        <v>3.1</v>
      </c>
      <c r="N33" s="3">
        <v>0.01</v>
      </c>
      <c r="O33" s="3">
        <v>17.29</v>
      </c>
      <c r="P33" s="3">
        <v>0.72</v>
      </c>
      <c r="Q33" s="3">
        <v>1.52</v>
      </c>
      <c r="R33" s="3">
        <v>0.88</v>
      </c>
      <c r="S33" s="3">
        <v>1.05</v>
      </c>
      <c r="T33" s="3">
        <v>0.9</v>
      </c>
      <c r="U33" s="3">
        <v>1.18</v>
      </c>
      <c r="V33" s="3">
        <v>0.92</v>
      </c>
      <c r="W33" s="3">
        <v>1.24</v>
      </c>
      <c r="X33" s="3">
        <v>1.95</v>
      </c>
    </row>
    <row r="34" spans="1:24" x14ac:dyDescent="0.3">
      <c r="A34" s="1" t="s">
        <v>32</v>
      </c>
      <c r="B34" s="3">
        <v>8.23</v>
      </c>
      <c r="C34" s="3">
        <v>8.3800000000000008</v>
      </c>
      <c r="D34" s="3">
        <v>0.21</v>
      </c>
      <c r="E34" s="3">
        <v>7.67</v>
      </c>
      <c r="F34" s="3">
        <v>-4.76</v>
      </c>
      <c r="G34" s="3">
        <v>2.0099999999999998</v>
      </c>
      <c r="H34" s="3">
        <v>6.5</v>
      </c>
      <c r="I34" s="3">
        <v>9.7899999999999991</v>
      </c>
      <c r="J34" s="3">
        <v>-4.54</v>
      </c>
      <c r="K34" s="3">
        <v>2.39</v>
      </c>
      <c r="L34" s="3">
        <v>-9.82</v>
      </c>
      <c r="M34" s="3">
        <v>-8.74</v>
      </c>
      <c r="N34" s="3">
        <v>-0.01</v>
      </c>
      <c r="O34" s="3">
        <v>-21.21</v>
      </c>
      <c r="P34" s="3">
        <v>0.32</v>
      </c>
      <c r="Q34" s="3">
        <v>1.4</v>
      </c>
      <c r="R34" s="3">
        <v>0.85</v>
      </c>
      <c r="S34" s="3">
        <v>0.95</v>
      </c>
      <c r="T34" s="3">
        <v>0.87</v>
      </c>
      <c r="U34" s="3">
        <v>1</v>
      </c>
      <c r="V34" s="3">
        <v>0.9</v>
      </c>
      <c r="W34" s="3">
        <v>1.0900000000000001</v>
      </c>
      <c r="X34" s="3">
        <v>1.8</v>
      </c>
    </row>
    <row r="35" spans="1:24" x14ac:dyDescent="0.3">
      <c r="A35" s="1" t="s">
        <v>33</v>
      </c>
      <c r="B35" s="3">
        <v>-8.5299999999999994</v>
      </c>
      <c r="C35" s="3">
        <v>-0.82</v>
      </c>
      <c r="D35" s="3">
        <v>6.6</v>
      </c>
      <c r="E35" s="3">
        <v>-2.71</v>
      </c>
      <c r="F35" s="3">
        <v>1.65</v>
      </c>
      <c r="G35" s="3">
        <v>1.74</v>
      </c>
      <c r="H35" s="3">
        <v>1.63</v>
      </c>
      <c r="I35" s="3">
        <v>9.91</v>
      </c>
      <c r="J35" s="3">
        <v>4.3899999999999997</v>
      </c>
      <c r="K35" s="3">
        <v>2.1800000000000002</v>
      </c>
      <c r="L35" s="3">
        <v>3.96</v>
      </c>
      <c r="M35" s="3">
        <v>7.39</v>
      </c>
      <c r="N35" s="3">
        <v>0</v>
      </c>
      <c r="O35" s="3">
        <v>12.74</v>
      </c>
      <c r="P35" s="3">
        <v>0.78</v>
      </c>
      <c r="Q35" s="3">
        <v>1.51</v>
      </c>
      <c r="R35" s="3">
        <v>0.72</v>
      </c>
      <c r="S35" s="3">
        <v>0.89</v>
      </c>
      <c r="T35" s="3">
        <v>0.8</v>
      </c>
      <c r="U35" s="3">
        <v>1.27</v>
      </c>
      <c r="V35" s="3">
        <v>0.86</v>
      </c>
      <c r="W35" s="3">
        <v>1.32</v>
      </c>
      <c r="X35" s="3">
        <v>1.75</v>
      </c>
    </row>
    <row r="36" spans="1:24" x14ac:dyDescent="0.3">
      <c r="A36" s="1" t="s">
        <v>34</v>
      </c>
      <c r="B36" s="3">
        <v>-0.28000000000000003</v>
      </c>
      <c r="C36" s="3">
        <v>-2.97</v>
      </c>
      <c r="D36" s="3">
        <v>-2.2799999999999998</v>
      </c>
      <c r="E36" s="3">
        <v>-3.13</v>
      </c>
      <c r="F36" s="3">
        <v>3.17</v>
      </c>
      <c r="G36" s="3">
        <v>9.32</v>
      </c>
      <c r="H36" s="3">
        <v>1.25</v>
      </c>
      <c r="I36" s="3">
        <v>-0.85</v>
      </c>
      <c r="J36" s="3">
        <v>0.04</v>
      </c>
      <c r="K36" s="3">
        <v>-0.95</v>
      </c>
      <c r="L36" s="3">
        <v>17.190000000000001</v>
      </c>
      <c r="M36" s="3">
        <v>10.87</v>
      </c>
      <c r="N36" s="3">
        <v>0.01</v>
      </c>
      <c r="O36" s="3">
        <v>10.36</v>
      </c>
      <c r="P36" s="3">
        <v>0.9</v>
      </c>
      <c r="Q36" s="3">
        <v>0.79</v>
      </c>
      <c r="R36" s="3">
        <v>0.85</v>
      </c>
      <c r="S36" s="3">
        <v>0.94</v>
      </c>
      <c r="T36" s="3">
        <v>0.91</v>
      </c>
      <c r="U36" s="3">
        <v>0.86</v>
      </c>
      <c r="V36" s="3">
        <v>0.97</v>
      </c>
      <c r="W36" s="3">
        <v>0.93</v>
      </c>
      <c r="X36" s="3">
        <v>-0.45</v>
      </c>
    </row>
    <row r="37" spans="1:24" x14ac:dyDescent="0.3">
      <c r="A37" s="1" t="s">
        <v>35</v>
      </c>
      <c r="B37" s="3">
        <v>8.33</v>
      </c>
      <c r="C37" s="3">
        <v>-6.86</v>
      </c>
      <c r="D37" s="3">
        <v>-5.29</v>
      </c>
      <c r="E37" s="3">
        <v>-4.13</v>
      </c>
      <c r="F37" s="3">
        <v>-1.26</v>
      </c>
      <c r="G37" s="3">
        <v>4.1399999999999997</v>
      </c>
      <c r="H37" s="3">
        <v>12.27</v>
      </c>
      <c r="I37" s="3">
        <v>1.19</v>
      </c>
      <c r="J37" s="3">
        <v>11.53</v>
      </c>
      <c r="K37" s="3">
        <v>5.89</v>
      </c>
      <c r="L37" s="3">
        <v>38.96</v>
      </c>
      <c r="M37" s="3">
        <v>37.36</v>
      </c>
      <c r="N37" s="3">
        <v>0</v>
      </c>
      <c r="O37" s="3">
        <v>41.15</v>
      </c>
      <c r="P37" s="3">
        <v>0.73</v>
      </c>
      <c r="Q37" s="3">
        <v>0.68</v>
      </c>
      <c r="R37" s="3">
        <v>0.72</v>
      </c>
      <c r="S37" s="3">
        <v>0.82</v>
      </c>
      <c r="T37" s="3">
        <v>0.79</v>
      </c>
      <c r="U37" s="3">
        <v>0.3</v>
      </c>
      <c r="V37" s="3">
        <v>0.83</v>
      </c>
      <c r="W37" s="3">
        <v>0.54</v>
      </c>
      <c r="X37" s="3">
        <v>1.18</v>
      </c>
    </row>
    <row r="38" spans="1:24" x14ac:dyDescent="0.3">
      <c r="A38" s="1" t="s">
        <v>36</v>
      </c>
      <c r="B38" s="3">
        <v>0.43</v>
      </c>
      <c r="C38" s="3">
        <v>-4.79</v>
      </c>
      <c r="D38" s="3">
        <v>-6.37</v>
      </c>
      <c r="E38" s="3">
        <v>-1.74</v>
      </c>
      <c r="F38" s="3">
        <v>12.17</v>
      </c>
      <c r="G38" s="3">
        <v>-2.86</v>
      </c>
      <c r="H38" s="3">
        <v>-6.57</v>
      </c>
      <c r="I38" s="3">
        <v>2.0299999999999998</v>
      </c>
      <c r="J38" s="3">
        <v>5.53</v>
      </c>
      <c r="K38" s="3">
        <v>-2.33</v>
      </c>
      <c r="L38" s="3">
        <v>3.84</v>
      </c>
      <c r="M38" s="3">
        <v>-3.13</v>
      </c>
      <c r="N38" s="3">
        <v>-0.01</v>
      </c>
      <c r="O38" s="3">
        <v>-20.39</v>
      </c>
      <c r="P38" s="3">
        <v>0.86</v>
      </c>
      <c r="Q38" s="3">
        <v>0.85</v>
      </c>
      <c r="R38" s="3">
        <v>0.64</v>
      </c>
      <c r="S38" s="3">
        <v>0.73</v>
      </c>
      <c r="T38" s="3">
        <v>0.85</v>
      </c>
      <c r="U38" s="3">
        <v>0.69</v>
      </c>
      <c r="V38" s="3">
        <v>0.86</v>
      </c>
      <c r="W38" s="3">
        <v>0.82</v>
      </c>
      <c r="X38" s="3">
        <v>-0.48</v>
      </c>
    </row>
    <row r="39" spans="1:24" x14ac:dyDescent="0.3">
      <c r="A39" s="1" t="s">
        <v>37</v>
      </c>
      <c r="B39" s="3">
        <v>4.1399999999999997</v>
      </c>
      <c r="C39" s="3">
        <v>10.09</v>
      </c>
      <c r="D39" s="3">
        <v>-0.7</v>
      </c>
      <c r="E39" s="3">
        <v>14.52</v>
      </c>
      <c r="F39" s="3">
        <v>7.78</v>
      </c>
      <c r="G39" s="3">
        <v>-10.59</v>
      </c>
      <c r="H39" s="3">
        <v>6.51</v>
      </c>
      <c r="I39" s="3">
        <v>17.71</v>
      </c>
      <c r="J39" s="3">
        <v>8.34</v>
      </c>
      <c r="K39" s="3">
        <v>2.69</v>
      </c>
      <c r="L39" s="3">
        <v>1.1100000000000001</v>
      </c>
      <c r="M39" s="3">
        <v>9.61</v>
      </c>
      <c r="N39" s="3">
        <v>0.01</v>
      </c>
      <c r="O39" s="3">
        <v>22.39</v>
      </c>
      <c r="P39" s="3">
        <v>0.5</v>
      </c>
      <c r="Q39" s="3">
        <v>0.57999999999999996</v>
      </c>
      <c r="R39" s="3">
        <v>1.1499999999999999</v>
      </c>
      <c r="S39" s="3">
        <v>1.1000000000000001</v>
      </c>
      <c r="T39" s="3">
        <v>1.04</v>
      </c>
      <c r="U39" s="3">
        <v>1.01</v>
      </c>
      <c r="V39" s="3">
        <v>1.08</v>
      </c>
      <c r="W39" s="3">
        <v>0.95</v>
      </c>
      <c r="X39" s="3">
        <v>1.1399999999999999</v>
      </c>
    </row>
    <row r="40" spans="1:24" x14ac:dyDescent="0.3">
      <c r="A40" s="1" t="s">
        <v>38</v>
      </c>
      <c r="B40" s="3">
        <v>-4.67</v>
      </c>
      <c r="C40" s="3">
        <v>-0.98</v>
      </c>
      <c r="D40" s="3">
        <v>1.81</v>
      </c>
      <c r="E40" s="3">
        <v>-1.34</v>
      </c>
      <c r="F40" s="3">
        <v>-16.54</v>
      </c>
      <c r="G40" s="3">
        <v>4.04</v>
      </c>
      <c r="H40" s="3">
        <v>0.53</v>
      </c>
      <c r="I40" s="3">
        <v>-3.04</v>
      </c>
      <c r="J40" s="3">
        <v>-10.69</v>
      </c>
      <c r="K40" s="3">
        <v>-1.27</v>
      </c>
      <c r="L40" s="3">
        <v>-16.46</v>
      </c>
      <c r="M40" s="3">
        <v>-17.61</v>
      </c>
      <c r="N40" s="3">
        <v>-0.03</v>
      </c>
      <c r="O40" s="3">
        <v>-36.090000000000003</v>
      </c>
      <c r="P40" s="3">
        <v>1.65</v>
      </c>
      <c r="Q40" s="3">
        <v>1.55</v>
      </c>
      <c r="R40" s="3">
        <v>0.93</v>
      </c>
      <c r="S40" s="3">
        <v>1.04</v>
      </c>
      <c r="T40" s="3">
        <v>0.97</v>
      </c>
      <c r="U40" s="3">
        <v>1.23</v>
      </c>
      <c r="V40" s="3">
        <v>0.99</v>
      </c>
      <c r="W40" s="3">
        <v>1.26</v>
      </c>
      <c r="X40" s="3">
        <v>0.68</v>
      </c>
    </row>
    <row r="41" spans="1:24" x14ac:dyDescent="0.3">
      <c r="A41" s="1" t="s">
        <v>39</v>
      </c>
      <c r="B41" s="3">
        <v>3.42</v>
      </c>
      <c r="C41" s="3">
        <v>8.23</v>
      </c>
      <c r="D41" s="3">
        <v>6.82</v>
      </c>
      <c r="E41" s="3">
        <v>5.66</v>
      </c>
      <c r="F41" s="3">
        <v>-9.08</v>
      </c>
      <c r="G41" s="3">
        <v>-13.23</v>
      </c>
      <c r="H41" s="3">
        <v>-8.0500000000000007</v>
      </c>
      <c r="I41" s="3">
        <v>-13.67</v>
      </c>
      <c r="J41" s="3">
        <v>-10.37</v>
      </c>
      <c r="K41" s="3">
        <v>-5.61</v>
      </c>
      <c r="L41" s="3">
        <v>-5.29</v>
      </c>
      <c r="M41" s="3">
        <v>-2.16</v>
      </c>
      <c r="N41" s="3">
        <v>0</v>
      </c>
      <c r="O41" s="3">
        <v>-15.76</v>
      </c>
      <c r="P41" s="3">
        <v>0.9</v>
      </c>
      <c r="Q41" s="3">
        <v>1.22</v>
      </c>
      <c r="R41" s="3">
        <v>0.85</v>
      </c>
      <c r="S41" s="3">
        <v>1.03</v>
      </c>
      <c r="T41" s="3">
        <v>0.94</v>
      </c>
      <c r="U41" s="3">
        <v>1.06</v>
      </c>
      <c r="V41" s="3">
        <v>0.96</v>
      </c>
      <c r="W41" s="3">
        <v>0.99</v>
      </c>
      <c r="X41" s="3">
        <v>-1.04</v>
      </c>
    </row>
    <row r="42" spans="1:24" x14ac:dyDescent="0.3">
      <c r="A42" s="1" t="s">
        <v>40</v>
      </c>
      <c r="B42" s="3">
        <v>-17.3</v>
      </c>
      <c r="C42" s="3">
        <v>13.34</v>
      </c>
      <c r="D42" s="3">
        <v>-6.77</v>
      </c>
      <c r="E42" s="3">
        <v>2.63</v>
      </c>
      <c r="F42" s="3">
        <v>2.69</v>
      </c>
      <c r="G42" s="3">
        <v>0.5</v>
      </c>
      <c r="H42" s="3">
        <v>0.46</v>
      </c>
      <c r="I42" s="3">
        <v>-4.75</v>
      </c>
      <c r="J42" s="3">
        <v>-3.07</v>
      </c>
      <c r="K42" s="3">
        <v>-0.81</v>
      </c>
      <c r="L42" s="3">
        <v>13.19</v>
      </c>
      <c r="M42" s="3">
        <v>14.12</v>
      </c>
      <c r="N42" s="3">
        <v>0.02</v>
      </c>
      <c r="O42" s="3">
        <v>18.399999999999999</v>
      </c>
      <c r="P42" s="3">
        <v>0.77</v>
      </c>
      <c r="Q42" s="3">
        <v>0.6</v>
      </c>
      <c r="R42" s="3">
        <v>1.19</v>
      </c>
      <c r="S42" s="3">
        <v>1.0900000000000001</v>
      </c>
      <c r="T42" s="3">
        <v>1.03</v>
      </c>
      <c r="U42" s="3">
        <v>1.1599999999999999</v>
      </c>
      <c r="V42" s="3">
        <v>1.03</v>
      </c>
      <c r="W42" s="3">
        <v>1.02</v>
      </c>
      <c r="X42" s="3">
        <v>0.48</v>
      </c>
    </row>
    <row r="43" spans="1:24" x14ac:dyDescent="0.3">
      <c r="A43" s="1" t="s">
        <v>41</v>
      </c>
      <c r="B43" s="3">
        <v>3.03</v>
      </c>
      <c r="C43" s="3">
        <v>5.25</v>
      </c>
      <c r="D43" s="3">
        <v>-1.44</v>
      </c>
      <c r="E43" s="3">
        <v>-19.05</v>
      </c>
      <c r="F43" s="3">
        <v>8.15</v>
      </c>
      <c r="G43" s="3">
        <v>24.06</v>
      </c>
      <c r="H43" s="3">
        <v>9.6199999999999992</v>
      </c>
      <c r="I43" s="3">
        <v>17.940000000000001</v>
      </c>
      <c r="J43" s="3">
        <v>11.16</v>
      </c>
      <c r="K43" s="3">
        <v>6.28</v>
      </c>
      <c r="L43" s="3">
        <v>11.26</v>
      </c>
      <c r="M43" s="3">
        <v>11.07</v>
      </c>
      <c r="N43" s="3">
        <v>-0.02</v>
      </c>
      <c r="O43" s="3">
        <v>6.09</v>
      </c>
      <c r="P43" s="3">
        <v>0.6</v>
      </c>
      <c r="Q43" s="3">
        <v>1.64</v>
      </c>
      <c r="R43" s="3">
        <v>1.04</v>
      </c>
      <c r="S43" s="3">
        <v>1.2</v>
      </c>
      <c r="T43" s="3">
        <v>1.1299999999999999</v>
      </c>
      <c r="U43" s="3">
        <v>1.01</v>
      </c>
      <c r="V43" s="3">
        <v>1.1499999999999999</v>
      </c>
      <c r="W43" s="3">
        <v>1.18</v>
      </c>
      <c r="X43" s="3">
        <v>1.44</v>
      </c>
    </row>
    <row r="44" spans="1:24" x14ac:dyDescent="0.3">
      <c r="A44" s="1" t="s">
        <v>42</v>
      </c>
      <c r="B44" s="3">
        <v>4.6100000000000003</v>
      </c>
      <c r="C44" s="3">
        <v>-0.32</v>
      </c>
      <c r="D44" s="3">
        <v>1.06</v>
      </c>
      <c r="E44" s="3">
        <v>-3.93</v>
      </c>
      <c r="F44" s="3">
        <v>2.74</v>
      </c>
      <c r="G44" s="3">
        <v>16.93</v>
      </c>
      <c r="H44" s="3">
        <v>7.37</v>
      </c>
      <c r="I44" s="3">
        <v>14.08</v>
      </c>
      <c r="J44" s="3">
        <v>7.01</v>
      </c>
      <c r="K44" s="3">
        <v>5.17</v>
      </c>
      <c r="L44" s="3">
        <v>-2.12</v>
      </c>
      <c r="M44" s="3">
        <v>2.39</v>
      </c>
      <c r="N44" s="3">
        <v>0.02</v>
      </c>
      <c r="O44" s="3">
        <v>-1.22</v>
      </c>
      <c r="P44" s="3">
        <v>0.57999999999999996</v>
      </c>
      <c r="Q44" s="3">
        <v>1.65</v>
      </c>
      <c r="R44" s="3">
        <v>1.04</v>
      </c>
      <c r="S44" s="3">
        <v>1.1200000000000001</v>
      </c>
      <c r="T44" s="3">
        <v>1.0900000000000001</v>
      </c>
      <c r="U44" s="3">
        <v>1.56</v>
      </c>
      <c r="V44" s="3">
        <v>1.1000000000000001</v>
      </c>
      <c r="W44" s="3">
        <v>1.38</v>
      </c>
      <c r="X44" s="3">
        <v>1.63</v>
      </c>
    </row>
    <row r="45" spans="1:24" x14ac:dyDescent="0.3">
      <c r="A45" s="1" t="s">
        <v>43</v>
      </c>
      <c r="B45" s="3">
        <v>4.0199999999999996</v>
      </c>
      <c r="C45" s="3">
        <v>-4.8</v>
      </c>
      <c r="D45" s="3">
        <v>1.54</v>
      </c>
      <c r="E45" s="3">
        <v>-10.82</v>
      </c>
      <c r="F45" s="3">
        <v>8.89</v>
      </c>
      <c r="G45" s="3">
        <v>12.58</v>
      </c>
      <c r="H45" s="3">
        <v>7.6</v>
      </c>
      <c r="I45" s="3">
        <v>4.79</v>
      </c>
      <c r="J45" s="3">
        <v>6.71</v>
      </c>
      <c r="K45" s="3">
        <v>2.29</v>
      </c>
      <c r="L45" s="3">
        <v>11.32</v>
      </c>
      <c r="M45" s="3">
        <v>8.0500000000000007</v>
      </c>
      <c r="N45" s="3">
        <v>0</v>
      </c>
      <c r="O45" s="3">
        <v>11.43</v>
      </c>
      <c r="P45" s="3">
        <v>0.6</v>
      </c>
      <c r="Q45" s="3">
        <v>2.0499999999999998</v>
      </c>
      <c r="R45" s="3">
        <v>1.02</v>
      </c>
      <c r="S45" s="3">
        <v>1.3</v>
      </c>
      <c r="T45" s="3">
        <v>1.26</v>
      </c>
      <c r="U45" s="3">
        <v>1.3</v>
      </c>
      <c r="V45" s="3">
        <v>1.28</v>
      </c>
      <c r="W45" s="3">
        <v>1.52</v>
      </c>
      <c r="X45" s="3">
        <v>0.52</v>
      </c>
    </row>
    <row r="46" spans="1:24" x14ac:dyDescent="0.3">
      <c r="A46" s="1" t="s">
        <v>44</v>
      </c>
      <c r="B46" s="3">
        <v>-2.56</v>
      </c>
      <c r="C46" s="3">
        <v>10.59</v>
      </c>
      <c r="D46" s="3">
        <v>7.58</v>
      </c>
      <c r="E46" s="3">
        <v>8.58</v>
      </c>
      <c r="F46" s="3">
        <v>10.95</v>
      </c>
      <c r="G46" s="3">
        <v>-2.0699999999999998</v>
      </c>
      <c r="H46" s="3">
        <v>-1.54</v>
      </c>
      <c r="I46" s="3">
        <v>-4.49</v>
      </c>
      <c r="J46" s="3">
        <v>-2.1800000000000002</v>
      </c>
      <c r="K46" s="3">
        <v>2.08</v>
      </c>
      <c r="L46" s="3">
        <v>-10.02</v>
      </c>
      <c r="M46" s="3">
        <v>-6.5</v>
      </c>
      <c r="N46" s="3">
        <v>-0.02</v>
      </c>
      <c r="O46" s="3">
        <v>16.489999999999998</v>
      </c>
      <c r="P46" s="3">
        <v>0.23</v>
      </c>
      <c r="Q46" s="3">
        <v>1.76</v>
      </c>
      <c r="R46" s="3">
        <v>1.2</v>
      </c>
      <c r="S46" s="3">
        <v>1.17</v>
      </c>
      <c r="T46" s="3">
        <v>1.1499999999999999</v>
      </c>
      <c r="U46" s="3">
        <v>1.69</v>
      </c>
      <c r="V46" s="3">
        <v>1.1599999999999999</v>
      </c>
      <c r="W46" s="3">
        <v>1.57</v>
      </c>
      <c r="X46" s="3">
        <v>1.27</v>
      </c>
    </row>
    <row r="47" spans="1:24" x14ac:dyDescent="0.3">
      <c r="A47" s="1" t="s">
        <v>45</v>
      </c>
      <c r="B47" s="3">
        <v>1.1599999999999999</v>
      </c>
      <c r="C47" s="3">
        <v>1.55</v>
      </c>
      <c r="D47" s="3">
        <v>3.64</v>
      </c>
      <c r="E47" s="3">
        <v>3.27</v>
      </c>
      <c r="F47" s="3">
        <v>14.28</v>
      </c>
      <c r="G47" s="3">
        <v>7.13</v>
      </c>
      <c r="H47" s="3">
        <v>-6.38</v>
      </c>
      <c r="I47" s="3">
        <v>-0.52</v>
      </c>
      <c r="J47" s="3">
        <v>-4.12</v>
      </c>
      <c r="K47" s="3">
        <v>3.55</v>
      </c>
      <c r="L47" s="3">
        <v>3.71</v>
      </c>
      <c r="M47" s="3">
        <v>5.38</v>
      </c>
      <c r="N47" s="3">
        <v>0</v>
      </c>
      <c r="O47" s="3">
        <v>3.92</v>
      </c>
      <c r="P47" s="3">
        <v>0.82</v>
      </c>
      <c r="Q47" s="3">
        <v>3.16</v>
      </c>
      <c r="R47" s="3">
        <v>1.1499999999999999</v>
      </c>
      <c r="S47" s="3">
        <v>1.28</v>
      </c>
      <c r="T47" s="3">
        <v>1.2</v>
      </c>
      <c r="U47" s="3">
        <v>2.13</v>
      </c>
      <c r="V47" s="3">
        <v>1.21</v>
      </c>
      <c r="W47" s="3">
        <v>2.2999999999999998</v>
      </c>
      <c r="X47" s="3">
        <v>0.72</v>
      </c>
    </row>
    <row r="48" spans="1:24" x14ac:dyDescent="0.3">
      <c r="A48" s="1" t="s">
        <v>46</v>
      </c>
      <c r="B48" s="3">
        <v>-5.44</v>
      </c>
      <c r="C48" s="3">
        <v>0.99</v>
      </c>
      <c r="D48" s="3">
        <v>13.34</v>
      </c>
      <c r="E48" s="3">
        <v>-0.86</v>
      </c>
      <c r="F48" s="3">
        <v>15.67</v>
      </c>
      <c r="G48" s="3">
        <v>8.5299999999999994</v>
      </c>
      <c r="H48" s="3">
        <v>-3.35</v>
      </c>
      <c r="I48" s="3">
        <v>-11.71</v>
      </c>
      <c r="J48" s="3">
        <v>11.23</v>
      </c>
      <c r="K48" s="3">
        <v>2.39</v>
      </c>
      <c r="L48" s="3">
        <v>-2.2200000000000002</v>
      </c>
      <c r="M48" s="3">
        <v>-3.95</v>
      </c>
      <c r="N48" s="3">
        <v>-0.01</v>
      </c>
      <c r="O48" s="3">
        <v>-10.32</v>
      </c>
      <c r="P48" s="3">
        <v>0.43</v>
      </c>
      <c r="Q48" s="3">
        <v>-0.39</v>
      </c>
      <c r="R48" s="3">
        <v>1.23</v>
      </c>
      <c r="S48" s="3">
        <v>1.24</v>
      </c>
      <c r="T48" s="3">
        <v>1.26</v>
      </c>
      <c r="U48" s="3">
        <v>0.49</v>
      </c>
      <c r="V48" s="3">
        <v>1.28</v>
      </c>
      <c r="W48" s="3">
        <v>0.05</v>
      </c>
      <c r="X48" s="3">
        <v>0.13</v>
      </c>
    </row>
    <row r="49" spans="1:24" x14ac:dyDescent="0.3">
      <c r="A49" s="1" t="s">
        <v>47</v>
      </c>
      <c r="B49" s="3">
        <v>6.86</v>
      </c>
      <c r="C49" s="3">
        <v>5.63</v>
      </c>
      <c r="D49" s="3">
        <v>3.28</v>
      </c>
      <c r="E49" s="3">
        <v>2.6</v>
      </c>
      <c r="F49" s="3">
        <v>13.87</v>
      </c>
      <c r="G49" s="3">
        <v>-12.59</v>
      </c>
      <c r="H49" s="3">
        <v>6.35</v>
      </c>
      <c r="I49" s="3">
        <v>-0.06</v>
      </c>
      <c r="J49" s="3">
        <v>-4.5</v>
      </c>
      <c r="K49" s="3">
        <v>0.22</v>
      </c>
      <c r="L49" s="3">
        <v>-17.5</v>
      </c>
      <c r="M49" s="3">
        <v>-17.489999999999998</v>
      </c>
      <c r="N49" s="3">
        <v>0.01</v>
      </c>
      <c r="O49" s="3">
        <v>-28.65</v>
      </c>
      <c r="P49" s="3">
        <v>0.52</v>
      </c>
      <c r="Q49" s="3">
        <v>0.83</v>
      </c>
      <c r="R49" s="3">
        <v>1.17</v>
      </c>
      <c r="S49" s="3">
        <v>1.04</v>
      </c>
      <c r="T49" s="3">
        <v>1.04</v>
      </c>
      <c r="U49" s="3">
        <v>0.97</v>
      </c>
      <c r="V49" s="3">
        <v>1.05</v>
      </c>
      <c r="W49" s="3">
        <v>0.66</v>
      </c>
      <c r="X49" s="3">
        <v>0.41</v>
      </c>
    </row>
    <row r="50" spans="1:24" x14ac:dyDescent="0.3">
      <c r="A50" s="1" t="s">
        <v>48</v>
      </c>
      <c r="B50" s="3">
        <v>-0.02</v>
      </c>
      <c r="C50" s="3">
        <v>2.63</v>
      </c>
      <c r="D50" s="3">
        <v>12.35</v>
      </c>
      <c r="E50" s="3">
        <v>-1.93</v>
      </c>
      <c r="F50" s="3">
        <v>-1.91</v>
      </c>
      <c r="G50" s="3">
        <v>5.96</v>
      </c>
      <c r="H50" s="3">
        <v>8.31</v>
      </c>
      <c r="I50" s="3">
        <v>2.86</v>
      </c>
      <c r="J50" s="3">
        <v>-0.3</v>
      </c>
      <c r="K50" s="3">
        <v>0.81</v>
      </c>
      <c r="L50" s="3">
        <v>-1.31</v>
      </c>
      <c r="M50" s="3">
        <v>-2.17</v>
      </c>
      <c r="N50" s="3">
        <v>-0.01</v>
      </c>
      <c r="O50" s="3">
        <v>-6.46</v>
      </c>
      <c r="P50" s="4">
        <v>0.74</v>
      </c>
      <c r="Q50" s="3">
        <v>0.82</v>
      </c>
      <c r="R50" s="3">
        <v>1.07</v>
      </c>
      <c r="S50" s="3">
        <v>1.25</v>
      </c>
      <c r="T50" s="3">
        <v>1.21</v>
      </c>
      <c r="U50" s="3">
        <v>0.9</v>
      </c>
      <c r="V50" s="3">
        <v>1.22</v>
      </c>
      <c r="W50" s="3">
        <v>0.84</v>
      </c>
      <c r="X50" s="3">
        <v>0.83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DBC1-934D-4180-9AE8-3324D41D7447}">
  <dimension ref="A1:H37"/>
  <sheetViews>
    <sheetView showGridLines="0" tabSelected="1" workbookViewId="0">
      <selection activeCell="H2" sqref="H2"/>
    </sheetView>
  </sheetViews>
  <sheetFormatPr defaultRowHeight="14.4" x14ac:dyDescent="0.3"/>
  <cols>
    <col min="1" max="1" width="71.88671875" style="15" bestFit="1" customWidth="1"/>
    <col min="6" max="6" width="67.88671875" bestFit="1" customWidth="1"/>
    <col min="7" max="7" width="9.6640625" bestFit="1" customWidth="1"/>
  </cols>
  <sheetData>
    <row r="1" spans="1:8" x14ac:dyDescent="0.3">
      <c r="A1" s="10" t="s">
        <v>71</v>
      </c>
      <c r="B1" s="16" t="s">
        <v>72</v>
      </c>
      <c r="F1" s="17" t="s">
        <v>73</v>
      </c>
      <c r="G1" s="20" t="s">
        <v>89</v>
      </c>
      <c r="H1" s="20" t="s">
        <v>90</v>
      </c>
    </row>
    <row r="2" spans="1:8" x14ac:dyDescent="0.3">
      <c r="A2" s="11" t="s">
        <v>49</v>
      </c>
      <c r="B2" s="24">
        <f>VLOOKUP(A2,$F$2:$G$37,2,0)</f>
        <v>0</v>
      </c>
      <c r="F2" s="18" t="s">
        <v>74</v>
      </c>
      <c r="G2" s="21">
        <v>0.16225440795496368</v>
      </c>
      <c r="H2" t="str">
        <f>IF(ISERROR(VLOOKUP(F2,$A$2:$A$24,1,0)),"NÃO","SIM")</f>
        <v>NÃO</v>
      </c>
    </row>
    <row r="3" spans="1:8" x14ac:dyDescent="0.3">
      <c r="A3" s="11" t="s">
        <v>50</v>
      </c>
      <c r="B3" s="24">
        <f t="shared" ref="B3:B24" si="0">VLOOKUP(A3,$F$2:$G$37,2,0)</f>
        <v>2.3131759295046359E-4</v>
      </c>
      <c r="F3" s="19" t="s">
        <v>75</v>
      </c>
      <c r="G3" s="22">
        <v>8.9728094305484826E-2</v>
      </c>
      <c r="H3" t="str">
        <f t="shared" ref="H3:H37" si="1">IF(ISERROR(VLOOKUP(F3,$A$2:$A$24,1,0)),"NÃO","SIM")</f>
        <v>NÃO</v>
      </c>
    </row>
    <row r="4" spans="1:8" x14ac:dyDescent="0.3">
      <c r="A4" s="11" t="s">
        <v>51</v>
      </c>
      <c r="B4" s="24">
        <f t="shared" si="0"/>
        <v>0</v>
      </c>
      <c r="F4" s="18" t="s">
        <v>63</v>
      </c>
      <c r="G4" s="21">
        <v>7.8765288869835484E-2</v>
      </c>
      <c r="H4" t="str">
        <f t="shared" si="1"/>
        <v>SIM</v>
      </c>
    </row>
    <row r="5" spans="1:8" x14ac:dyDescent="0.3">
      <c r="A5" s="11" t="s">
        <v>52</v>
      </c>
      <c r="B5" s="24">
        <f t="shared" si="0"/>
        <v>2.3057312253637013E-4</v>
      </c>
      <c r="F5" s="11" t="s">
        <v>60</v>
      </c>
      <c r="G5" s="22">
        <v>7.4895384890353259E-2</v>
      </c>
      <c r="H5" t="str">
        <f t="shared" si="1"/>
        <v>SIM</v>
      </c>
    </row>
    <row r="6" spans="1:8" x14ac:dyDescent="0.3">
      <c r="A6" s="11" t="s">
        <v>53</v>
      </c>
      <c r="B6" s="24">
        <f t="shared" si="0"/>
        <v>1.3172308306005832E-2</v>
      </c>
      <c r="F6" s="18" t="s">
        <v>76</v>
      </c>
      <c r="G6" s="21">
        <v>6.5324082340715559E-2</v>
      </c>
      <c r="H6" t="str">
        <f t="shared" si="1"/>
        <v>NÃO</v>
      </c>
    </row>
    <row r="7" spans="1:8" x14ac:dyDescent="0.3">
      <c r="A7" s="11" t="s">
        <v>54</v>
      </c>
      <c r="B7" s="24">
        <f t="shared" si="0"/>
        <v>1.2076553264017326E-2</v>
      </c>
      <c r="F7" s="19" t="s">
        <v>77</v>
      </c>
      <c r="G7" s="22">
        <v>6.5468290986721744E-2</v>
      </c>
      <c r="H7" t="str">
        <f t="shared" si="1"/>
        <v>NÃO</v>
      </c>
    </row>
    <row r="8" spans="1:8" x14ac:dyDescent="0.3">
      <c r="A8" s="11" t="s">
        <v>55</v>
      </c>
      <c r="B8" s="24">
        <f t="shared" si="0"/>
        <v>9.5990110294308113E-3</v>
      </c>
      <c r="F8" s="18" t="s">
        <v>78</v>
      </c>
      <c r="G8" s="21">
        <v>6.2286371260428207E-2</v>
      </c>
      <c r="H8" t="str">
        <f t="shared" si="1"/>
        <v>NÃO</v>
      </c>
    </row>
    <row r="9" spans="1:8" x14ac:dyDescent="0.3">
      <c r="A9" s="11" t="s">
        <v>56</v>
      </c>
      <c r="B9" s="24">
        <f t="shared" si="0"/>
        <v>8.8210515000336723E-3</v>
      </c>
      <c r="F9" s="19" t="s">
        <v>79</v>
      </c>
      <c r="G9" s="22">
        <v>6.1428877238785602E-2</v>
      </c>
      <c r="H9" t="str">
        <f t="shared" si="1"/>
        <v>NÃO</v>
      </c>
    </row>
    <row r="10" spans="1:8" x14ac:dyDescent="0.3">
      <c r="A10" s="11" t="s">
        <v>57</v>
      </c>
      <c r="B10" s="24">
        <f t="shared" si="0"/>
        <v>8.2209797491568631E-3</v>
      </c>
      <c r="F10" s="18" t="s">
        <v>80</v>
      </c>
      <c r="G10" s="21">
        <v>5.9694255265452523E-2</v>
      </c>
      <c r="H10" t="str">
        <f t="shared" si="1"/>
        <v>NÃO</v>
      </c>
    </row>
    <row r="11" spans="1:8" x14ac:dyDescent="0.3">
      <c r="A11" s="11" t="s">
        <v>58</v>
      </c>
      <c r="B11" s="24">
        <f t="shared" si="0"/>
        <v>2.2593755342461495E-4</v>
      </c>
      <c r="F11" s="19" t="s">
        <v>69</v>
      </c>
      <c r="G11" s="22">
        <v>5.3956858123848338E-2</v>
      </c>
      <c r="H11" t="str">
        <f t="shared" si="1"/>
        <v>SIM</v>
      </c>
    </row>
    <row r="12" spans="1:8" x14ac:dyDescent="0.3">
      <c r="A12" s="11" t="s">
        <v>59</v>
      </c>
      <c r="B12" s="24">
        <f t="shared" si="0"/>
        <v>9.12470207475727E-3</v>
      </c>
      <c r="F12" s="18" t="s">
        <v>81</v>
      </c>
      <c r="G12" s="21">
        <v>4.4096577920499293E-2</v>
      </c>
      <c r="H12" t="str">
        <f t="shared" si="1"/>
        <v>NÃO</v>
      </c>
    </row>
    <row r="13" spans="1:8" x14ac:dyDescent="0.3">
      <c r="A13" s="11" t="s">
        <v>60</v>
      </c>
      <c r="B13" s="24">
        <f t="shared" si="0"/>
        <v>7.4895384890353259E-2</v>
      </c>
      <c r="F13" s="11" t="s">
        <v>61</v>
      </c>
      <c r="G13" s="22">
        <v>2.7413108202076816E-2</v>
      </c>
      <c r="H13" t="str">
        <f t="shared" si="1"/>
        <v>SIM</v>
      </c>
    </row>
    <row r="14" spans="1:8" x14ac:dyDescent="0.3">
      <c r="A14" s="11" t="s">
        <v>61</v>
      </c>
      <c r="B14" s="24">
        <f t="shared" si="0"/>
        <v>2.7413108202076816E-2</v>
      </c>
      <c r="F14" s="18" t="s">
        <v>82</v>
      </c>
      <c r="G14" s="21">
        <v>2.6612950219310108E-2</v>
      </c>
      <c r="H14" t="str">
        <f t="shared" si="1"/>
        <v>NÃO</v>
      </c>
    </row>
    <row r="15" spans="1:8" x14ac:dyDescent="0.3">
      <c r="A15" s="11" t="s">
        <v>62</v>
      </c>
      <c r="B15" s="24">
        <f t="shared" si="0"/>
        <v>1.864334716847697E-2</v>
      </c>
      <c r="F15" s="12" t="s">
        <v>83</v>
      </c>
      <c r="G15" s="22">
        <v>1.9825099414924718E-2</v>
      </c>
      <c r="H15" t="str">
        <f t="shared" si="1"/>
        <v>SIM</v>
      </c>
    </row>
    <row r="16" spans="1:8" x14ac:dyDescent="0.3">
      <c r="A16" s="12" t="s">
        <v>83</v>
      </c>
      <c r="B16" s="24">
        <f t="shared" si="0"/>
        <v>1.9825099414924718E-2</v>
      </c>
      <c r="F16" s="11" t="s">
        <v>62</v>
      </c>
      <c r="G16" s="21">
        <v>1.864334716847697E-2</v>
      </c>
      <c r="H16" t="str">
        <f t="shared" si="1"/>
        <v>SIM</v>
      </c>
    </row>
    <row r="17" spans="1:8" x14ac:dyDescent="0.3">
      <c r="A17" s="13" t="s">
        <v>63</v>
      </c>
      <c r="B17" s="24">
        <f t="shared" si="0"/>
        <v>7.8765288869835484E-2</v>
      </c>
      <c r="F17" s="19" t="s">
        <v>53</v>
      </c>
      <c r="G17" s="22">
        <v>1.3172308306005832E-2</v>
      </c>
      <c r="H17" t="str">
        <f t="shared" si="1"/>
        <v>SIM</v>
      </c>
    </row>
    <row r="18" spans="1:8" x14ac:dyDescent="0.3">
      <c r="A18" s="13" t="s">
        <v>64</v>
      </c>
      <c r="B18" s="24">
        <f t="shared" si="0"/>
        <v>5.0435093562016496E-3</v>
      </c>
      <c r="F18" s="18" t="s">
        <v>54</v>
      </c>
      <c r="G18" s="21">
        <v>1.2076553264017326E-2</v>
      </c>
      <c r="H18" t="str">
        <f t="shared" si="1"/>
        <v>SIM</v>
      </c>
    </row>
    <row r="19" spans="1:8" x14ac:dyDescent="0.3">
      <c r="A19" s="14" t="s">
        <v>65</v>
      </c>
      <c r="B19" s="24">
        <f t="shared" si="0"/>
        <v>3.9314832633786387E-3</v>
      </c>
      <c r="F19" s="19" t="s">
        <v>55</v>
      </c>
      <c r="G19" s="22">
        <v>9.5990110294308113E-3</v>
      </c>
      <c r="H19" t="str">
        <f t="shared" si="1"/>
        <v>SIM</v>
      </c>
    </row>
    <row r="20" spans="1:8" x14ac:dyDescent="0.3">
      <c r="A20" s="14" t="s">
        <v>66</v>
      </c>
      <c r="B20" s="24">
        <f t="shared" si="0"/>
        <v>2.2735240172111347E-3</v>
      </c>
      <c r="F20" s="11" t="s">
        <v>59</v>
      </c>
      <c r="G20" s="21">
        <v>9.12470207475727E-3</v>
      </c>
      <c r="H20" t="str">
        <f t="shared" si="1"/>
        <v>SIM</v>
      </c>
    </row>
    <row r="21" spans="1:8" x14ac:dyDescent="0.3">
      <c r="A21" s="14" t="s">
        <v>67</v>
      </c>
      <c r="B21" s="24">
        <f t="shared" si="0"/>
        <v>7.1914069452821906E-4</v>
      </c>
      <c r="F21" s="19" t="s">
        <v>56</v>
      </c>
      <c r="G21" s="22">
        <v>8.8210515000336723E-3</v>
      </c>
      <c r="H21" t="str">
        <f t="shared" si="1"/>
        <v>SIM</v>
      </c>
    </row>
    <row r="22" spans="1:8" x14ac:dyDescent="0.3">
      <c r="A22" s="14" t="s">
        <v>68</v>
      </c>
      <c r="B22" s="24">
        <f t="shared" si="0"/>
        <v>7.5681326087948734E-4</v>
      </c>
      <c r="F22" s="18" t="s">
        <v>57</v>
      </c>
      <c r="G22" s="21">
        <v>8.2209797491568631E-3</v>
      </c>
      <c r="H22" t="str">
        <f t="shared" si="1"/>
        <v>SIM</v>
      </c>
    </row>
    <row r="23" spans="1:8" x14ac:dyDescent="0.3">
      <c r="A23" s="14" t="s">
        <v>69</v>
      </c>
      <c r="B23" s="24">
        <f t="shared" si="0"/>
        <v>5.3956858123848338E-2</v>
      </c>
      <c r="F23" s="19" t="s">
        <v>84</v>
      </c>
      <c r="G23" s="22">
        <v>5.3194124550628198E-3</v>
      </c>
      <c r="H23" t="str">
        <f t="shared" si="1"/>
        <v>NÃO</v>
      </c>
    </row>
    <row r="24" spans="1:8" x14ac:dyDescent="0.3">
      <c r="A24" s="23" t="s">
        <v>85</v>
      </c>
      <c r="B24" s="24">
        <f t="shared" si="0"/>
        <v>4.8994904910661099E-3</v>
      </c>
      <c r="F24" s="18" t="s">
        <v>64</v>
      </c>
      <c r="G24" s="21">
        <v>5.0435093562016496E-3</v>
      </c>
      <c r="H24" t="str">
        <f t="shared" si="1"/>
        <v>SIM</v>
      </c>
    </row>
    <row r="25" spans="1:8" x14ac:dyDescent="0.3">
      <c r="F25" s="19" t="s">
        <v>85</v>
      </c>
      <c r="G25" s="22">
        <v>4.8994904910661099E-3</v>
      </c>
      <c r="H25" t="str">
        <f t="shared" si="1"/>
        <v>SIM</v>
      </c>
    </row>
    <row r="26" spans="1:8" x14ac:dyDescent="0.3">
      <c r="F26" s="18" t="s">
        <v>65</v>
      </c>
      <c r="G26" s="21">
        <v>3.9314832633786387E-3</v>
      </c>
      <c r="H26" t="str">
        <f t="shared" si="1"/>
        <v>SIM</v>
      </c>
    </row>
    <row r="27" spans="1:8" x14ac:dyDescent="0.3">
      <c r="F27" s="19" t="s">
        <v>86</v>
      </c>
      <c r="G27" s="22">
        <v>3.9137400518427451E-3</v>
      </c>
      <c r="H27" t="str">
        <f t="shared" si="1"/>
        <v>NÃO</v>
      </c>
    </row>
    <row r="28" spans="1:8" x14ac:dyDescent="0.3">
      <c r="F28" s="18" t="s">
        <v>66</v>
      </c>
      <c r="G28" s="21">
        <v>2.2735240172111347E-3</v>
      </c>
      <c r="H28" t="str">
        <f t="shared" si="1"/>
        <v>SIM</v>
      </c>
    </row>
    <row r="29" spans="1:8" x14ac:dyDescent="0.3">
      <c r="F29" s="19" t="s">
        <v>87</v>
      </c>
      <c r="G29" s="22">
        <v>9.709430408569522E-4</v>
      </c>
      <c r="H29" t="str">
        <f t="shared" si="1"/>
        <v>NÃO</v>
      </c>
    </row>
    <row r="30" spans="1:8" x14ac:dyDescent="0.3">
      <c r="F30" s="18" t="s">
        <v>68</v>
      </c>
      <c r="G30" s="21">
        <v>7.5681326087948734E-4</v>
      </c>
      <c r="H30" t="str">
        <f t="shared" si="1"/>
        <v>SIM</v>
      </c>
    </row>
    <row r="31" spans="1:8" x14ac:dyDescent="0.3">
      <c r="F31" s="19" t="s">
        <v>67</v>
      </c>
      <c r="G31" s="22">
        <v>7.1914069452821906E-4</v>
      </c>
      <c r="H31" t="str">
        <f t="shared" si="1"/>
        <v>SIM</v>
      </c>
    </row>
    <row r="32" spans="1:8" x14ac:dyDescent="0.3">
      <c r="F32" s="18" t="s">
        <v>58</v>
      </c>
      <c r="G32" s="21">
        <v>2.2593755342461495E-4</v>
      </c>
      <c r="H32" t="str">
        <f t="shared" si="1"/>
        <v>SIM</v>
      </c>
    </row>
    <row r="33" spans="6:8" x14ac:dyDescent="0.3">
      <c r="F33" s="19" t="s">
        <v>52</v>
      </c>
      <c r="G33" s="22">
        <v>2.3057312253637013E-4</v>
      </c>
      <c r="H33" t="str">
        <f t="shared" si="1"/>
        <v>SIM</v>
      </c>
    </row>
    <row r="34" spans="6:8" x14ac:dyDescent="0.3">
      <c r="F34" s="18" t="s">
        <v>50</v>
      </c>
      <c r="G34" s="21">
        <v>2.3131759295046359E-4</v>
      </c>
      <c r="H34" t="str">
        <f t="shared" si="1"/>
        <v>SIM</v>
      </c>
    </row>
    <row r="35" spans="6:8" x14ac:dyDescent="0.3">
      <c r="F35" s="19" t="s">
        <v>51</v>
      </c>
      <c r="G35" s="22">
        <v>0</v>
      </c>
      <c r="H35" t="str">
        <f t="shared" si="1"/>
        <v>SIM</v>
      </c>
    </row>
    <row r="36" spans="6:8" x14ac:dyDescent="0.3">
      <c r="F36" s="18" t="s">
        <v>49</v>
      </c>
      <c r="G36" s="21">
        <v>0</v>
      </c>
      <c r="H36" t="str">
        <f t="shared" si="1"/>
        <v>SIM</v>
      </c>
    </row>
    <row r="37" spans="6:8" x14ac:dyDescent="0.3">
      <c r="F37" s="19" t="s">
        <v>88</v>
      </c>
      <c r="G37" s="22">
        <v>7.6515014781826393E-5</v>
      </c>
      <c r="H37" t="str">
        <f t="shared" si="1"/>
        <v>NÃO</v>
      </c>
    </row>
  </sheetData>
  <conditionalFormatting sqref="H2:H37">
    <cfRule type="containsText" dxfId="0" priority="1" operator="containsText" text="NÃO">
      <formula>NOT(ISERROR(SEARCH("NÃO",H2)))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Histórico retorno</vt:lpstr>
      <vt:lpstr>Peso 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Erasmo Melo Gusmao</dc:creator>
  <cp:lastModifiedBy>Erasmo Melo Gusmao</cp:lastModifiedBy>
  <dcterms:created xsi:type="dcterms:W3CDTF">2026-01-06T15:04:37Z</dcterms:created>
  <dcterms:modified xsi:type="dcterms:W3CDTF">2026-01-07T15:54:05Z</dcterms:modified>
</cp:coreProperties>
</file>