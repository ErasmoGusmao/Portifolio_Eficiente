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oogleDrive\HD-Antigo\Documentos\ProjetosDigitais\Projetos\Python\PyPortifolio - Análise de Carteira\0 - Rascunho e testes\"/>
    </mc:Choice>
  </mc:AlternateContent>
  <xr:revisionPtr revIDLastSave="0" documentId="13_ncr:1_{499161BB-85BB-4989-B861-C27F174E7F9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dos - Histórico retorno" sheetId="5" r:id="rId1"/>
    <sheet name="Covariância" sheetId="8" r:id="rId2"/>
    <sheet name="Correlação" sheetId="7" state="hidden" r:id="rId3"/>
    <sheet name="Estimativa retorno carteira" sheetId="9" r:id="rId4"/>
    <sheet name="Planilha9" sheetId="10" state="hidden" r:id="rId5"/>
  </sheets>
  <definedNames>
    <definedName name="intervalo_pesos">'Estimativa retorno carteira'!$B$3:$X$3</definedName>
    <definedName name="matriz_covariancia">Covariância!$B$2:$X$24</definedName>
    <definedName name="solver_adj" localSheetId="3" hidden="1">'Estimativa retorno carteira'!$B$3:$X$3</definedName>
    <definedName name="solver_cvg" localSheetId="3" hidden="1">0.0001</definedName>
    <definedName name="solver_drv" localSheetId="3" hidden="1">2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lhs1" localSheetId="3" hidden="1">'Estimativa retorno carteira'!$B$3</definedName>
    <definedName name="solver_lhs10" localSheetId="3" hidden="1">'Estimativa retorno carteira'!$I$3</definedName>
    <definedName name="solver_lhs11" localSheetId="3" hidden="1">'Estimativa retorno carteira'!$J$3</definedName>
    <definedName name="solver_lhs12" localSheetId="3" hidden="1">'Estimativa retorno carteira'!$K$3</definedName>
    <definedName name="solver_lhs13" localSheetId="3" hidden="1">'Estimativa retorno carteira'!$L$3</definedName>
    <definedName name="solver_lhs14" localSheetId="3" hidden="1">'Estimativa retorno carteira'!$M$3</definedName>
    <definedName name="solver_lhs15" localSheetId="3" hidden="1">'Estimativa retorno carteira'!$N$3</definedName>
    <definedName name="solver_lhs16" localSheetId="3" hidden="1">'Estimativa retorno carteira'!$O$3</definedName>
    <definedName name="solver_lhs17" localSheetId="3" hidden="1">'Estimativa retorno carteira'!$P$3</definedName>
    <definedName name="solver_lhs18" localSheetId="3" hidden="1">'Estimativa retorno carteira'!$Q$3</definedName>
    <definedName name="solver_lhs19" localSheetId="3" hidden="1">'Estimativa retorno carteira'!$R$3</definedName>
    <definedName name="solver_lhs2" localSheetId="3" hidden="1">'Estimativa retorno carteira'!$B$5</definedName>
    <definedName name="solver_lhs20" localSheetId="3" hidden="1">'Estimativa retorno carteira'!$S$3</definedName>
    <definedName name="solver_lhs21" localSheetId="3" hidden="1">'Estimativa retorno carteira'!$T$3</definedName>
    <definedName name="solver_lhs22" localSheetId="3" hidden="1">'Estimativa retorno carteira'!$U$3</definedName>
    <definedName name="solver_lhs23" localSheetId="3" hidden="1">'Estimativa retorno carteira'!$V$3</definedName>
    <definedName name="solver_lhs24" localSheetId="3" hidden="1">'Estimativa retorno carteira'!$W$3</definedName>
    <definedName name="solver_lhs25" localSheetId="3" hidden="1">'Estimativa retorno carteira'!$X$3</definedName>
    <definedName name="solver_lhs3" localSheetId="3" hidden="1">'Estimativa retorno carteira'!$B$7</definedName>
    <definedName name="solver_lhs4" localSheetId="3" hidden="1">'Estimativa retorno carteira'!$C$3</definedName>
    <definedName name="solver_lhs5" localSheetId="3" hidden="1">'Estimativa retorno carteira'!$D$3</definedName>
    <definedName name="solver_lhs6" localSheetId="3" hidden="1">'Estimativa retorno carteira'!$E$3</definedName>
    <definedName name="solver_lhs7" localSheetId="3" hidden="1">'Estimativa retorno carteira'!$F$3</definedName>
    <definedName name="solver_lhs8" localSheetId="3" hidden="1">'Estimativa retorno carteira'!$G$3</definedName>
    <definedName name="solver_lhs9" localSheetId="3" hidden="1">'Estimativa retorno carteira'!$H$3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25</definedName>
    <definedName name="solver_nwt" localSheetId="3" hidden="1">1</definedName>
    <definedName name="solver_opt" localSheetId="3" hidden="1">'Estimativa retorno carteira'!$B$9</definedName>
    <definedName name="solver_pre" localSheetId="3" hidden="1">0.000001</definedName>
    <definedName name="solver_rbv" localSheetId="3" hidden="1">2</definedName>
    <definedName name="solver_rel1" localSheetId="3" hidden="1">3</definedName>
    <definedName name="solver_rel10" localSheetId="3" hidden="1">3</definedName>
    <definedName name="solver_rel11" localSheetId="3" hidden="1">3</definedName>
    <definedName name="solver_rel12" localSheetId="3" hidden="1">3</definedName>
    <definedName name="solver_rel13" localSheetId="3" hidden="1">3</definedName>
    <definedName name="solver_rel14" localSheetId="3" hidden="1">3</definedName>
    <definedName name="solver_rel15" localSheetId="3" hidden="1">3</definedName>
    <definedName name="solver_rel16" localSheetId="3" hidden="1">3</definedName>
    <definedName name="solver_rel17" localSheetId="3" hidden="1">3</definedName>
    <definedName name="solver_rel18" localSheetId="3" hidden="1">3</definedName>
    <definedName name="solver_rel19" localSheetId="3" hidden="1">3</definedName>
    <definedName name="solver_rel2" localSheetId="3" hidden="1">2</definedName>
    <definedName name="solver_rel20" localSheetId="3" hidden="1">3</definedName>
    <definedName name="solver_rel21" localSheetId="3" hidden="1">3</definedName>
    <definedName name="solver_rel22" localSheetId="3" hidden="1">3</definedName>
    <definedName name="solver_rel23" localSheetId="3" hidden="1">3</definedName>
    <definedName name="solver_rel24" localSheetId="3" hidden="1">3</definedName>
    <definedName name="solver_rel25" localSheetId="3" hidden="1">3</definedName>
    <definedName name="solver_rel3" localSheetId="3" hidden="1">3</definedName>
    <definedName name="solver_rel4" localSheetId="3" hidden="1">3</definedName>
    <definedName name="solver_rel5" localSheetId="3" hidden="1">3</definedName>
    <definedName name="solver_rel6" localSheetId="3" hidden="1">3</definedName>
    <definedName name="solver_rel7" localSheetId="3" hidden="1">3</definedName>
    <definedName name="solver_rel8" localSheetId="3" hidden="1">3</definedName>
    <definedName name="solver_rel9" localSheetId="3" hidden="1">3</definedName>
    <definedName name="solver_rhs1" localSheetId="3" hidden="1">0</definedName>
    <definedName name="solver_rhs10" localSheetId="3" hidden="1">0</definedName>
    <definedName name="solver_rhs11" localSheetId="3" hidden="1">0</definedName>
    <definedName name="solver_rhs12" localSheetId="3" hidden="1">0</definedName>
    <definedName name="solver_rhs13" localSheetId="3" hidden="1">0</definedName>
    <definedName name="solver_rhs14" localSheetId="3" hidden="1">0</definedName>
    <definedName name="solver_rhs15" localSheetId="3" hidden="1">0</definedName>
    <definedName name="solver_rhs16" localSheetId="3" hidden="1">0</definedName>
    <definedName name="solver_rhs17" localSheetId="3" hidden="1">0</definedName>
    <definedName name="solver_rhs18" localSheetId="3" hidden="1">0</definedName>
    <definedName name="solver_rhs19" localSheetId="3" hidden="1">0</definedName>
    <definedName name="solver_rhs2" localSheetId="3" hidden="1">1</definedName>
    <definedName name="solver_rhs20" localSheetId="3" hidden="1">0</definedName>
    <definedName name="solver_rhs21" localSheetId="3" hidden="1">0</definedName>
    <definedName name="solver_rhs22" localSheetId="3" hidden="1">0</definedName>
    <definedName name="solver_rhs23" localSheetId="3" hidden="1">0</definedName>
    <definedName name="solver_rhs24" localSheetId="3" hidden="1">0</definedName>
    <definedName name="solver_rhs25" localSheetId="3" hidden="1">0</definedName>
    <definedName name="solver_rhs3" localSheetId="3" hidden="1">0.15</definedName>
    <definedName name="solver_rhs4" localSheetId="3" hidden="1">0</definedName>
    <definedName name="solver_rhs5" localSheetId="3" hidden="1">0</definedName>
    <definedName name="solver_rhs6" localSheetId="3" hidden="1">0</definedName>
    <definedName name="solver_rhs7" localSheetId="3" hidden="1">0</definedName>
    <definedName name="solver_rhs8" localSheetId="3" hidden="1">0</definedName>
    <definedName name="solver_rhs9" localSheetId="3" hidden="1">0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9" l="1"/>
  <c r="B7" i="9"/>
  <c r="B5" i="9"/>
  <c r="B12" i="9"/>
  <c r="F5" i="8"/>
  <c r="F4" i="8"/>
  <c r="F3" i="8"/>
  <c r="F2" i="8"/>
  <c r="G6" i="8"/>
  <c r="G5" i="8"/>
  <c r="G4" i="8"/>
  <c r="G3" i="8"/>
  <c r="G2" i="8"/>
  <c r="H7" i="8"/>
  <c r="H6" i="8"/>
  <c r="H5" i="8"/>
  <c r="H4" i="8"/>
  <c r="H3" i="8"/>
  <c r="H2" i="8"/>
  <c r="I8" i="8"/>
  <c r="I7" i="8"/>
  <c r="I6" i="8"/>
  <c r="I5" i="8"/>
  <c r="I4" i="8"/>
  <c r="I3" i="8"/>
  <c r="I2" i="8"/>
  <c r="J9" i="8"/>
  <c r="J8" i="8"/>
  <c r="J7" i="8"/>
  <c r="J6" i="8"/>
  <c r="J5" i="8"/>
  <c r="J4" i="8"/>
  <c r="J3" i="8"/>
  <c r="J2" i="8"/>
  <c r="K10" i="8"/>
  <c r="K9" i="8"/>
  <c r="K8" i="8"/>
  <c r="K7" i="8"/>
  <c r="K6" i="8"/>
  <c r="K5" i="8"/>
  <c r="K4" i="8"/>
  <c r="K3" i="8"/>
  <c r="K2" i="8"/>
  <c r="L11" i="8"/>
  <c r="L10" i="8"/>
  <c r="L9" i="8"/>
  <c r="L8" i="8"/>
  <c r="L7" i="8"/>
  <c r="L6" i="8"/>
  <c r="L5" i="8"/>
  <c r="L4" i="8"/>
  <c r="L3" i="8"/>
  <c r="L2" i="8"/>
  <c r="M12" i="8"/>
  <c r="M11" i="8"/>
  <c r="M10" i="8"/>
  <c r="M9" i="8"/>
  <c r="M8" i="8"/>
  <c r="M7" i="8"/>
  <c r="M6" i="8"/>
  <c r="M5" i="8"/>
  <c r="M4" i="8"/>
  <c r="M3" i="8"/>
  <c r="M2" i="8"/>
  <c r="N13" i="8"/>
  <c r="N12" i="8"/>
  <c r="N11" i="8"/>
  <c r="N10" i="8"/>
  <c r="N9" i="8"/>
  <c r="N8" i="8"/>
  <c r="N7" i="8"/>
  <c r="N6" i="8"/>
  <c r="N5" i="8"/>
  <c r="N4" i="8"/>
  <c r="N3" i="8"/>
  <c r="N2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P15" i="8"/>
  <c r="P14" i="8"/>
  <c r="P13" i="8"/>
  <c r="P12" i="8"/>
  <c r="P11" i="8"/>
  <c r="P10" i="8"/>
  <c r="P9" i="8"/>
  <c r="P8" i="8"/>
  <c r="P7" i="8"/>
  <c r="P6" i="8"/>
  <c r="P5" i="8"/>
  <c r="P4" i="8"/>
  <c r="P3" i="8"/>
  <c r="P2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R2" i="8"/>
  <c r="S2" i="8"/>
  <c r="T2" i="8"/>
  <c r="U2" i="8"/>
  <c r="V2" i="8"/>
  <c r="W2" i="8"/>
  <c r="X2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U3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V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E4" i="8"/>
  <c r="E3" i="8"/>
  <c r="D3" i="8"/>
  <c r="D4" i="8"/>
  <c r="E2" i="8"/>
  <c r="D2" i="8"/>
  <c r="C2" i="8"/>
  <c r="X2" i="7"/>
  <c r="X3" i="7"/>
  <c r="W2" i="7"/>
  <c r="X4" i="7"/>
  <c r="W3" i="7"/>
  <c r="V2" i="7"/>
  <c r="X5" i="7"/>
  <c r="W4" i="7"/>
  <c r="V3" i="7"/>
  <c r="U2" i="7"/>
  <c r="X6" i="7"/>
  <c r="W5" i="7"/>
  <c r="V4" i="7"/>
  <c r="U3" i="7"/>
  <c r="T2" i="7"/>
  <c r="X7" i="7"/>
  <c r="W6" i="7"/>
  <c r="V5" i="7"/>
  <c r="U4" i="7"/>
  <c r="T3" i="7"/>
  <c r="S2" i="7"/>
  <c r="X8" i="7"/>
  <c r="W7" i="7"/>
  <c r="V6" i="7"/>
  <c r="U5" i="7"/>
  <c r="T4" i="7"/>
  <c r="S3" i="7"/>
  <c r="R2" i="7"/>
  <c r="X9" i="7"/>
  <c r="W8" i="7"/>
  <c r="V7" i="7"/>
  <c r="U6" i="7"/>
  <c r="T5" i="7"/>
  <c r="S4" i="7"/>
  <c r="R3" i="7"/>
  <c r="Q2" i="7"/>
  <c r="X10" i="7"/>
  <c r="W9" i="7"/>
  <c r="V8" i="7"/>
  <c r="U7" i="7"/>
  <c r="T6" i="7"/>
  <c r="S5" i="7"/>
  <c r="R4" i="7"/>
  <c r="Q3" i="7"/>
  <c r="P2" i="7"/>
  <c r="X11" i="7"/>
  <c r="W10" i="7"/>
  <c r="V9" i="7"/>
  <c r="U8" i="7"/>
  <c r="T7" i="7"/>
  <c r="S6" i="7"/>
  <c r="R5" i="7"/>
  <c r="Q4" i="7"/>
  <c r="P3" i="7"/>
  <c r="O2" i="7"/>
  <c r="X12" i="7"/>
  <c r="W11" i="7"/>
  <c r="V10" i="7"/>
  <c r="U9" i="7"/>
  <c r="T8" i="7"/>
  <c r="S7" i="7"/>
  <c r="R6" i="7"/>
  <c r="Q5" i="7"/>
  <c r="P4" i="7"/>
  <c r="O3" i="7"/>
  <c r="N2" i="7"/>
  <c r="X13" i="7"/>
  <c r="W12" i="7"/>
  <c r="V11" i="7"/>
  <c r="U10" i="7"/>
  <c r="T9" i="7"/>
  <c r="S8" i="7"/>
  <c r="R7" i="7"/>
  <c r="Q6" i="7"/>
  <c r="P5" i="7"/>
  <c r="O4" i="7"/>
  <c r="N3" i="7"/>
  <c r="M2" i="7"/>
  <c r="X14" i="7"/>
  <c r="W13" i="7"/>
  <c r="V12" i="7"/>
  <c r="U11" i="7"/>
  <c r="T10" i="7"/>
  <c r="S9" i="7"/>
  <c r="R8" i="7"/>
  <c r="Q7" i="7"/>
  <c r="P6" i="7"/>
  <c r="O5" i="7"/>
  <c r="N4" i="7"/>
  <c r="M3" i="7"/>
  <c r="L2" i="7"/>
  <c r="X15" i="7"/>
  <c r="W14" i="7"/>
  <c r="V13" i="7"/>
  <c r="U12" i="7"/>
  <c r="T11" i="7"/>
  <c r="S10" i="7"/>
  <c r="R9" i="7"/>
  <c r="Q8" i="7"/>
  <c r="P7" i="7"/>
  <c r="O6" i="7"/>
  <c r="N5" i="7"/>
  <c r="M4" i="7"/>
  <c r="L3" i="7"/>
  <c r="K2" i="7"/>
  <c r="X16" i="7"/>
  <c r="W15" i="7"/>
  <c r="V14" i="7"/>
  <c r="U13" i="7"/>
  <c r="T12" i="7"/>
  <c r="S11" i="7"/>
  <c r="R10" i="7"/>
  <c r="Q9" i="7"/>
  <c r="P8" i="7"/>
  <c r="O7" i="7"/>
  <c r="N6" i="7"/>
  <c r="M5" i="7"/>
  <c r="L4" i="7"/>
  <c r="K3" i="7"/>
  <c r="J2" i="7"/>
  <c r="X17" i="7"/>
  <c r="W16" i="7"/>
  <c r="V15" i="7"/>
  <c r="U14" i="7"/>
  <c r="T13" i="7"/>
  <c r="S12" i="7"/>
  <c r="R11" i="7"/>
  <c r="Q10" i="7"/>
  <c r="P9" i="7"/>
  <c r="O8" i="7"/>
  <c r="N7" i="7"/>
  <c r="M6" i="7"/>
  <c r="L5" i="7"/>
  <c r="K4" i="7"/>
  <c r="J3" i="7"/>
  <c r="I2" i="7"/>
  <c r="X18" i="7"/>
  <c r="W17" i="7"/>
  <c r="V16" i="7"/>
  <c r="U15" i="7"/>
  <c r="T14" i="7"/>
  <c r="S13" i="7"/>
  <c r="R12" i="7"/>
  <c r="Q11" i="7"/>
  <c r="P10" i="7"/>
  <c r="O9" i="7"/>
  <c r="N8" i="7"/>
  <c r="M7" i="7"/>
  <c r="L6" i="7"/>
  <c r="K5" i="7"/>
  <c r="J4" i="7"/>
  <c r="I3" i="7"/>
  <c r="H2" i="7"/>
  <c r="X19" i="7"/>
  <c r="W18" i="7"/>
  <c r="V17" i="7"/>
  <c r="U16" i="7"/>
  <c r="T15" i="7"/>
  <c r="S14" i="7"/>
  <c r="R13" i="7"/>
  <c r="Q12" i="7"/>
  <c r="P11" i="7"/>
  <c r="O10" i="7"/>
  <c r="N9" i="7"/>
  <c r="M8" i="7"/>
  <c r="L7" i="7"/>
  <c r="K6" i="7"/>
  <c r="J5" i="7"/>
  <c r="I4" i="7"/>
  <c r="H3" i="7"/>
  <c r="G2" i="7"/>
  <c r="X20" i="7"/>
  <c r="W19" i="7"/>
  <c r="V18" i="7"/>
  <c r="U17" i="7"/>
  <c r="T16" i="7"/>
  <c r="S15" i="7"/>
  <c r="R14" i="7"/>
  <c r="Q13" i="7"/>
  <c r="P12" i="7"/>
  <c r="O11" i="7"/>
  <c r="N10" i="7"/>
  <c r="M9" i="7"/>
  <c r="L8" i="7"/>
  <c r="K7" i="7"/>
  <c r="J6" i="7"/>
  <c r="I5" i="7"/>
  <c r="H4" i="7"/>
  <c r="G3" i="7"/>
  <c r="F2" i="7"/>
  <c r="X21" i="7"/>
  <c r="W20" i="7"/>
  <c r="V19" i="7"/>
  <c r="U18" i="7"/>
  <c r="T17" i="7"/>
  <c r="S16" i="7"/>
  <c r="R15" i="7"/>
  <c r="Q14" i="7"/>
  <c r="P13" i="7"/>
  <c r="O12" i="7"/>
  <c r="N11" i="7"/>
  <c r="M10" i="7"/>
  <c r="L9" i="7"/>
  <c r="K8" i="7"/>
  <c r="J7" i="7"/>
  <c r="I6" i="7"/>
  <c r="H5" i="7"/>
  <c r="G4" i="7"/>
  <c r="F3" i="7"/>
  <c r="E2" i="7"/>
  <c r="X22" i="7"/>
  <c r="W21" i="7"/>
  <c r="V20" i="7"/>
  <c r="U19" i="7"/>
  <c r="T18" i="7"/>
  <c r="S17" i="7"/>
  <c r="R16" i="7"/>
  <c r="Q15" i="7"/>
  <c r="P14" i="7"/>
  <c r="O13" i="7"/>
  <c r="N12" i="7"/>
  <c r="M11" i="7"/>
  <c r="L10" i="7"/>
  <c r="K9" i="7"/>
  <c r="J8" i="7"/>
  <c r="I7" i="7"/>
  <c r="H6" i="7"/>
  <c r="G5" i="7"/>
  <c r="F4" i="7"/>
  <c r="E3" i="7"/>
  <c r="D2" i="7"/>
  <c r="X23" i="7"/>
  <c r="W22" i="7"/>
  <c r="V21" i="7"/>
  <c r="U20" i="7"/>
  <c r="T19" i="7"/>
  <c r="S18" i="7"/>
  <c r="R17" i="7"/>
  <c r="Q16" i="7"/>
  <c r="P15" i="7"/>
  <c r="O14" i="7"/>
  <c r="N13" i="7"/>
  <c r="M12" i="7"/>
  <c r="L11" i="7"/>
  <c r="K10" i="7"/>
  <c r="J9" i="7"/>
  <c r="I8" i="7"/>
  <c r="H7" i="7"/>
  <c r="G6" i="7"/>
  <c r="F5" i="7"/>
  <c r="E4" i="7"/>
  <c r="D3" i="7"/>
  <c r="C2" i="7"/>
  <c r="B8" i="9" l="1" a="1"/>
  <c r="B8" i="9" s="1"/>
  <c r="B9" i="9" s="1"/>
  <c r="X2" i="9"/>
  <c r="W2" i="9"/>
  <c r="V2" i="9"/>
  <c r="U2" i="9"/>
  <c r="T2" i="9"/>
  <c r="S2" i="9"/>
  <c r="R2" i="9"/>
  <c r="Q2" i="9"/>
  <c r="P2" i="9"/>
  <c r="O2" i="9"/>
  <c r="N2" i="9"/>
  <c r="L2" i="9"/>
  <c r="K2" i="9"/>
  <c r="J2" i="9"/>
  <c r="I2" i="9"/>
  <c r="H2" i="9"/>
  <c r="G2" i="9"/>
  <c r="F2" i="9"/>
  <c r="E2" i="9"/>
  <c r="D2" i="9"/>
  <c r="C2" i="9"/>
  <c r="B2" i="9"/>
  <c r="X24" i="8"/>
  <c r="W23" i="8"/>
  <c r="V22" i="8"/>
  <c r="U21" i="8"/>
  <c r="T20" i="8"/>
  <c r="S19" i="8"/>
  <c r="R18" i="8"/>
  <c r="Q17" i="8"/>
  <c r="P16" i="8"/>
  <c r="O15" i="8"/>
  <c r="N14" i="8"/>
  <c r="M13" i="8"/>
  <c r="L12" i="8"/>
  <c r="K11" i="8"/>
  <c r="J10" i="8"/>
  <c r="I9" i="8"/>
  <c r="H8" i="8"/>
  <c r="G7" i="8"/>
  <c r="F6" i="8"/>
  <c r="E5" i="8"/>
  <c r="C3" i="8"/>
  <c r="B2" i="8"/>
  <c r="B13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<sst xmlns="http://schemas.openxmlformats.org/spreadsheetml/2006/main" count="238" uniqueCount="102">
  <si>
    <t>Mes/Ano</t>
  </si>
  <si>
    <t>PETR4</t>
  </si>
  <si>
    <t>ITUB4</t>
  </si>
  <si>
    <t>VALE3</t>
  </si>
  <si>
    <t>BBAS3</t>
  </si>
  <si>
    <t>GOOGL</t>
  </si>
  <si>
    <t>NVDA</t>
  </si>
  <si>
    <t>jan/2022</t>
  </si>
  <si>
    <t>fev/2022</t>
  </si>
  <si>
    <t>mar/2022</t>
  </si>
  <si>
    <t>abr/2022</t>
  </si>
  <si>
    <t>mai/2022</t>
  </si>
  <si>
    <t>jun/2022</t>
  </si>
  <si>
    <t>jul/2022</t>
  </si>
  <si>
    <t>ago/2022</t>
  </si>
  <si>
    <t>set/2022</t>
  </si>
  <si>
    <t>out/2022</t>
  </si>
  <si>
    <t>nov/2022</t>
  </si>
  <si>
    <t>dez/2022</t>
  </si>
  <si>
    <t>jan/2023</t>
  </si>
  <si>
    <t>fev/2023</t>
  </si>
  <si>
    <t>mar/2023</t>
  </si>
  <si>
    <t>abr/2023</t>
  </si>
  <si>
    <t>mai/2023</t>
  </si>
  <si>
    <t>jun/2023</t>
  </si>
  <si>
    <t>NDAQ</t>
  </si>
  <si>
    <t>META</t>
  </si>
  <si>
    <t>AMZN</t>
  </si>
  <si>
    <t>VOO</t>
  </si>
  <si>
    <t>QBTC11</t>
  </si>
  <si>
    <t>BTC</t>
  </si>
  <si>
    <t>USDC</t>
  </si>
  <si>
    <t>SOL</t>
  </si>
  <si>
    <t>Rendimentos Mensais - CRA M. DIAS BRANCO - MAR/2031</t>
  </si>
  <si>
    <t>ARX Hedge FIC Incentivado Financeiro em Infra RF RL</t>
  </si>
  <si>
    <t>BNP Paribas RF FIF RF</t>
  </si>
  <si>
    <t>Daycoval Classic CIC FIRF CP RL</t>
  </si>
  <si>
    <t>Plural Yield FIF RF Referenciado DI RL</t>
  </si>
  <si>
    <t>Sparta Debêntures Incentivadas 45 FIC de FIF Infra RF RL</t>
  </si>
  <si>
    <t>Trend Investback FIC FIRF Simples RL</t>
  </si>
  <si>
    <t>XP Debêntures Incentivadas CDI CP FIF Incentivado de Investimento em Infra RF RL</t>
  </si>
  <si>
    <t>JP Morgan Global High Yield Bond A (acc) - USD</t>
  </si>
  <si>
    <t>jul/2023</t>
  </si>
  <si>
    <t>ago/2023</t>
  </si>
  <si>
    <t>set/2023</t>
  </si>
  <si>
    <t>out/2023</t>
  </si>
  <si>
    <t>nov/2023</t>
  </si>
  <si>
    <t>dez/2023</t>
  </si>
  <si>
    <t>jan/2024</t>
  </si>
  <si>
    <t>fev/2024</t>
  </si>
  <si>
    <t>mar/2024</t>
  </si>
  <si>
    <t>abr/2024</t>
  </si>
  <si>
    <t>mai/2024</t>
  </si>
  <si>
    <t>jun/2024</t>
  </si>
  <si>
    <t>jul/2024</t>
  </si>
  <si>
    <t>ago/2024</t>
  </si>
  <si>
    <t>set/2024</t>
  </si>
  <si>
    <t>out/2024</t>
  </si>
  <si>
    <t>nov/2024</t>
  </si>
  <si>
    <t>dez/2024</t>
  </si>
  <si>
    <t>jan/2025</t>
  </si>
  <si>
    <t>fev/2025</t>
  </si>
  <si>
    <t>mar/2025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</si>
  <si>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</si>
  <si>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</si>
  <si>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</si>
  <si>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</si>
  <si>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</si>
  <si>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</si>
  <si>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</si>
  <si>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</si>
  <si>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</si>
  <si>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Retorno (médio)</t>
  </si>
  <si>
    <t>Peso na carteira</t>
  </si>
  <si>
    <t>Ativo</t>
  </si>
  <si>
    <t>CRA REDE SIM - FEV/2030 - 16,95%</t>
  </si>
  <si>
    <t>Sulamérica Crédito ESG XP Seg Prev FIC RF CP IS RL</t>
  </si>
  <si>
    <t>CRA MARFRIG - MAR/2034 - IPC-A + 6,80%</t>
  </si>
  <si>
    <t>XP Balanceado Fundo Mútuo de Privatização - FGTS Carteira Livre RL</t>
  </si>
  <si>
    <t>DEB ENGIE - SET/2030 - 13,30%</t>
  </si>
  <si>
    <t>CRA JBS - SET/2038 - IPC-A + 6,30%</t>
  </si>
  <si>
    <t>Valora CRI CDI Renda+ FII RL</t>
  </si>
  <si>
    <t>DEB AEGEA RIO SPE4 - SET/2042 - IPC-A + 7,69%</t>
  </si>
  <si>
    <t>DEB AEGEA RIO SPE1 - SET/2042 - IPC-A + 7,69%</t>
  </si>
  <si>
    <t>CRA M. DIAS BRANCO - MAR/2031 - IPC-A + 4,14%</t>
  </si>
  <si>
    <t>GS Índice de Commodities Long &amp; Short - 7y- Taxa Fixa + Alavancagem - 27.02.2020</t>
  </si>
  <si>
    <t>JP Morgan Global High Yield Bond</t>
  </si>
  <si>
    <t>Fundo 24 Horas FIRF RL</t>
  </si>
  <si>
    <t>Absolute Atenas Advisory FIC FIF RF CP RL</t>
  </si>
  <si>
    <t>KDIF11</t>
  </si>
  <si>
    <t>Peso Atual</t>
  </si>
  <si>
    <t>CRA M. DIAS BRANCO - MAR/2031</t>
  </si>
  <si>
    <t>Retorno Portifólio</t>
  </si>
  <si>
    <t>Variânci Portifólio</t>
  </si>
  <si>
    <t>Desvio padrão  (Volatilidade)</t>
  </si>
  <si>
    <t>Índice de Sharpe</t>
  </si>
  <si>
    <t>CDI a.a</t>
  </si>
  <si>
    <t>CDI a.m</t>
  </si>
  <si>
    <t>Soma pessos</t>
  </si>
  <si>
    <t>Volatilizade</t>
  </si>
  <si>
    <t>CMV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</si>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</sst>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9" formatCode="_-* #,##0.0000000_-;\-* #,##0.0000000_-;_-* &quot;-&quot;??_-;_-@_-"/>
    <numFmt numFmtId="177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9" fontId="0" fillId="0" borderId="0" xfId="2" applyFont="1" applyFill="1" applyBorder="1" applyAlignment="1"/>
    <xf numFmtId="9" fontId="0" fillId="0" borderId="0" xfId="2" applyFont="1"/>
    <xf numFmtId="9" fontId="0" fillId="0" borderId="1" xfId="2" applyFont="1" applyFill="1" applyBorder="1" applyAlignment="1"/>
    <xf numFmtId="0" fontId="2" fillId="2" borderId="3" xfId="0" applyFont="1" applyFill="1" applyBorder="1"/>
    <xf numFmtId="0" fontId="2" fillId="2" borderId="4" xfId="0" applyFont="1" applyFill="1" applyBorder="1"/>
    <xf numFmtId="164" fontId="0" fillId="0" borderId="0" xfId="2" applyNumberFormat="1" applyFont="1"/>
    <xf numFmtId="164" fontId="0" fillId="0" borderId="0" xfId="2" applyNumberFormat="1" applyFont="1" applyFill="1" applyBorder="1" applyAlignment="1"/>
    <xf numFmtId="164" fontId="0" fillId="0" borderId="1" xfId="2" applyNumberFormat="1" applyFont="1" applyFill="1" applyBorder="1" applyAlignment="1"/>
    <xf numFmtId="164" fontId="0" fillId="0" borderId="0" xfId="2" applyNumberFormat="1" applyFont="1" applyAlignment="1">
      <alignment horizontal="center" vertical="center"/>
    </xf>
    <xf numFmtId="0" fontId="2" fillId="2" borderId="3" xfId="0" applyFont="1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2" fillId="2" borderId="3" xfId="0" applyFont="1" applyFill="1" applyBorder="1" applyAlignment="1">
      <alignment horizontal="center"/>
    </xf>
    <xf numFmtId="164" fontId="0" fillId="3" borderId="3" xfId="2" applyNumberFormat="1" applyFont="1" applyFill="1" applyBorder="1" applyAlignment="1">
      <alignment horizontal="center"/>
    </xf>
    <xf numFmtId="164" fontId="0" fillId="0" borderId="3" xfId="2" applyNumberFormat="1" applyFont="1" applyBorder="1" applyAlignment="1">
      <alignment horizontal="center"/>
    </xf>
    <xf numFmtId="164" fontId="0" fillId="0" borderId="0" xfId="0" applyNumberFormat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169" fontId="0" fillId="0" borderId="0" xfId="1" applyNumberFormat="1" applyFont="1"/>
    <xf numFmtId="177" fontId="0" fillId="0" borderId="0" xfId="0" applyNumberFormat="1"/>
    <xf numFmtId="0" fontId="3" fillId="0" borderId="0" xfId="0" applyFont="1"/>
    <xf numFmtId="10" fontId="0" fillId="0" borderId="0" xfId="2" applyNumberFormat="1" applyFont="1"/>
  </cellXfs>
  <cellStyles count="3">
    <cellStyle name="Normal" xfId="0" builtinId="0"/>
    <cellStyle name="Porcentagem" xfId="2" builtinId="5"/>
    <cellStyle name="Vírgula" xfId="1" builtinId="3"/>
  </cellStyles>
  <dxfs count="23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D82D88-7B85-4205-8CB7-8824EAE6B20D}" name="Tabela1" displayName="Tabela1" ref="A1:X49" totalsRowShown="0" headerRowCellStyle="Porcentagem" dataCellStyle="Porcentagem">
  <autoFilter ref="A1:X49" xr:uid="{C7D82D88-7B85-4205-8CB7-8824EAE6B20D}"/>
  <tableColumns count="24">
    <tableColumn id="1" xr3:uid="{9811DB38-DE7F-4FC5-9317-FCCD0BEE5862}" name="Mes/Ano"/>
    <tableColumn id="2" xr3:uid="{05D1DAE6-2148-46C5-84B6-26A2205471D8}" name="PETR4" dataDxfId="22" dataCellStyle="Porcentagem"/>
    <tableColumn id="3" xr3:uid="{5481BD8F-6562-4D58-BF9A-B7F71E04FDDB}" name="ITUB4" dataDxfId="21" dataCellStyle="Porcentagem"/>
    <tableColumn id="4" xr3:uid="{7D560679-C18E-4972-B6DE-9E19B9D6ED17}" name="VALE3" dataDxfId="20" dataCellStyle="Porcentagem"/>
    <tableColumn id="5" xr3:uid="{3C9D3E45-B45D-4AA9-BD64-90EE620C420D}" name="BBAS3" dataDxfId="19" dataCellStyle="Porcentagem"/>
    <tableColumn id="6" xr3:uid="{EC851280-3ADB-4912-93C8-EE044800105D}" name="GOOGL" dataDxfId="18" dataCellStyle="Porcentagem"/>
    <tableColumn id="7" xr3:uid="{FCEE36BB-D61A-41BB-87E1-4C6332F0479A}" name="NVDA" dataDxfId="17" dataCellStyle="Porcentagem"/>
    <tableColumn id="8" xr3:uid="{5C3F8F3C-DA35-4D83-B1FF-C1AC7CCD57DB}" name="NDAQ" dataDxfId="16" dataCellStyle="Porcentagem"/>
    <tableColumn id="9" xr3:uid="{5FCA1E3D-BC79-4561-BD0F-139CB07D2F48}" name="META" dataDxfId="15" dataCellStyle="Porcentagem"/>
    <tableColumn id="10" xr3:uid="{75F1DFAB-1099-406F-BF75-F725C755391F}" name="AMZN" dataDxfId="14" dataCellStyle="Porcentagem"/>
    <tableColumn id="11" xr3:uid="{29DEA738-C911-43B4-B58E-AA8720BC8A67}" name="VOO" dataDxfId="13" dataCellStyle="Porcentagem"/>
    <tableColumn id="12" xr3:uid="{40EE5B06-5950-49BF-A08B-C9447898AF46}" name="QBTC11" dataDxfId="12" dataCellStyle="Porcentagem"/>
    <tableColumn id="13" xr3:uid="{37F8A408-A44F-4B30-88EC-FCC057647687}" name="BTC" dataDxfId="11" dataCellStyle="Porcentagem"/>
    <tableColumn id="14" xr3:uid="{627E9A42-6B8E-4FD0-BE8E-CE26CFEBE5A2}" name="USDC" dataDxfId="10" dataCellStyle="Porcentagem"/>
    <tableColumn id="15" xr3:uid="{E9D363D4-70DB-46FF-ACFD-E8B41863DFAB}" name="SOL" dataDxfId="9" dataCellStyle="Porcentagem"/>
    <tableColumn id="16" xr3:uid="{538FC2CB-B6E8-4172-A880-464BAD19A5A6}" name="Rendimentos Mensais - CRA M. DIAS BRANCO - MAR/2031" dataDxfId="8" dataCellStyle="Porcentagem"/>
    <tableColumn id="17" xr3:uid="{771F16AE-4B26-4C20-96C6-FF439BE7ADCB}" name="ARX Hedge FIC Incentivado Financeiro em Infra RF RL" dataDxfId="7" dataCellStyle="Porcentagem"/>
    <tableColumn id="18" xr3:uid="{9AAA8B1D-DEE0-42C3-AE6D-49B26BAE6CFB}" name="BNP Paribas RF FIF RF" dataDxfId="6" dataCellStyle="Porcentagem"/>
    <tableColumn id="19" xr3:uid="{34689BB7-BCC4-416D-9E11-EBBCA4446F11}" name="Daycoval Classic CIC FIRF CP RL" dataDxfId="5" dataCellStyle="Porcentagem"/>
    <tableColumn id="20" xr3:uid="{B27BA4D7-E62F-4387-8401-BEB89BDA5856}" name="Plural Yield FIF RF Referenciado DI RL" dataDxfId="4" dataCellStyle="Porcentagem"/>
    <tableColumn id="21" xr3:uid="{5A562F5B-AEE1-4B14-91C9-E2F90877F6A7}" name="Sparta Debêntures Incentivadas 45 FIC de FIF Infra RF RL" dataDxfId="3" dataCellStyle="Porcentagem"/>
    <tableColumn id="22" xr3:uid="{105FB84B-5EF7-4BA6-B2E6-7F11F88C0FC0}" name="Trend Investback FIC FIRF Simples RL" dataDxfId="2" dataCellStyle="Porcentagem"/>
    <tableColumn id="23" xr3:uid="{613675A6-F421-4D65-A1AB-FA48CD0FEB0B}" name="XP Debêntures Incentivadas CDI CP FIF Incentivado de Investimento em Infra RF RL" dataDxfId="1" dataCellStyle="Porcentagem"/>
    <tableColumn id="24" xr3:uid="{05DB9DFC-5E26-4AFF-871B-F34132981424}" name="JP Morgan Global High Yield Bond A (acc) - USD" dataDxfId="0" dataCellStyle="Porcenta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60A9-A6EA-445B-A5BC-904F3E455DA3}">
  <sheetPr>
    <tabColor rgb="FF00B0F0"/>
  </sheetPr>
  <dimension ref="A1:X53"/>
  <sheetViews>
    <sheetView topLeftCell="A23" workbookViewId="0">
      <selection activeCell="O49" sqref="O49"/>
    </sheetView>
  </sheetViews>
  <sheetFormatPr defaultRowHeight="14.4" x14ac:dyDescent="0.3"/>
  <cols>
    <col min="1" max="1" width="10.77734375" customWidth="1"/>
    <col min="12" max="12" width="9.44140625" customWidth="1"/>
    <col min="16" max="16" width="51.77734375" customWidth="1"/>
    <col min="17" max="17" width="47.109375" customWidth="1"/>
    <col min="18" max="18" width="20.6640625" customWidth="1"/>
    <col min="19" max="19" width="28.6640625" customWidth="1"/>
    <col min="20" max="20" width="33.5546875" customWidth="1"/>
    <col min="21" max="21" width="49.6640625" customWidth="1"/>
    <col min="22" max="22" width="33.5546875" customWidth="1"/>
    <col min="23" max="23" width="57.109375" customWidth="1"/>
    <col min="24" max="24" width="42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</row>
    <row r="2" spans="1:24" x14ac:dyDescent="0.3">
      <c r="A2" t="s">
        <v>7</v>
      </c>
      <c r="B2" s="25">
        <v>6.8314285714285716E-2</v>
      </c>
      <c r="C2" s="25">
        <v>9.7571428571428583E-3</v>
      </c>
      <c r="D2" s="25">
        <v>-1.4985714285714291E-2</v>
      </c>
      <c r="E2" s="25">
        <v>5.0028571428571429E-2</v>
      </c>
      <c r="F2" s="25">
        <v>-2.8414285714285715E-2</v>
      </c>
      <c r="G2" s="25">
        <v>-5.1042857142857147E-2</v>
      </c>
      <c r="H2" s="25">
        <v>4.0857142857142863E-3</v>
      </c>
      <c r="I2" s="25">
        <v>-8.0228571428571455E-2</v>
      </c>
      <c r="J2" s="25">
        <v>-1.2671428571428578E-2</v>
      </c>
      <c r="K2" s="25">
        <v>-1.5571428571428569E-2</v>
      </c>
      <c r="L2" s="25">
        <v>-7.6771428571428574E-2</v>
      </c>
      <c r="M2" s="25">
        <v>-7.0171428571428579E-2</v>
      </c>
      <c r="N2" s="25">
        <v>5.7142857142857148E-5</v>
      </c>
      <c r="O2" s="25">
        <v>-0.11424285714285713</v>
      </c>
      <c r="P2" s="25">
        <v>8.8000000000000005E-3</v>
      </c>
      <c r="Q2" s="25">
        <v>7.6E-3</v>
      </c>
      <c r="R2" s="25">
        <v>6.0000000000000001E-3</v>
      </c>
      <c r="S2" s="25">
        <v>8.1000000000000013E-3</v>
      </c>
      <c r="T2" s="25">
        <v>7.6E-3</v>
      </c>
      <c r="U2" s="25">
        <v>1.0593877551020408E-2</v>
      </c>
      <c r="V2" s="25">
        <v>7.7000000000000002E-3</v>
      </c>
      <c r="W2" s="25">
        <v>8.3999999999999995E-3</v>
      </c>
      <c r="X2" s="25">
        <v>-8.6647462277091893E-3</v>
      </c>
    </row>
    <row r="3" spans="1:24" x14ac:dyDescent="0.3">
      <c r="A3" t="s">
        <v>8</v>
      </c>
      <c r="B3" s="25">
        <v>5.0999999999999997E-2</v>
      </c>
      <c r="C3" s="25">
        <v>6.8000000000000005E-3</v>
      </c>
      <c r="D3" s="25">
        <v>0.1411</v>
      </c>
      <c r="E3" s="25">
        <v>7.8100000000000003E-2</v>
      </c>
      <c r="F3" s="25">
        <v>-1.8E-3</v>
      </c>
      <c r="G3" s="25">
        <v>-4.0999999999999995E-3</v>
      </c>
      <c r="H3" s="25">
        <v>-4.4999999999999998E-2</v>
      </c>
      <c r="I3" s="25">
        <v>-0.32630000000000003</v>
      </c>
      <c r="J3" s="25">
        <v>2.6699999999999998E-2</v>
      </c>
      <c r="K3" s="25">
        <v>-2.98E-2</v>
      </c>
      <c r="L3" s="25">
        <v>-1.78E-2</v>
      </c>
      <c r="M3" s="25">
        <v>0.12240000000000001</v>
      </c>
      <c r="N3" s="25">
        <v>2.9999999999999997E-4</v>
      </c>
      <c r="O3" s="25">
        <v>-2.2000000000000001E-3</v>
      </c>
      <c r="P3" s="25">
        <v>1.3500000000000002E-2</v>
      </c>
      <c r="Q3" s="25">
        <v>1.26E-2</v>
      </c>
      <c r="R3" s="25">
        <v>8.1000000000000013E-3</v>
      </c>
      <c r="S3" s="25">
        <v>9.1999999999999998E-3</v>
      </c>
      <c r="T3" s="25">
        <v>7.6E-3</v>
      </c>
      <c r="U3" s="25">
        <v>1.0357142857142858E-2</v>
      </c>
      <c r="V3" s="25">
        <v>8.3999999999999995E-3</v>
      </c>
      <c r="W3" s="25">
        <v>9.8999999999999991E-3</v>
      </c>
      <c r="X3" s="25">
        <v>-6.738271604938271E-3</v>
      </c>
    </row>
    <row r="4" spans="1:24" x14ac:dyDescent="0.3">
      <c r="A4" t="s">
        <v>9</v>
      </c>
      <c r="B4" s="25">
        <v>-1.6200000000000003E-2</v>
      </c>
      <c r="C4" s="25">
        <v>7.9699999999999993E-2</v>
      </c>
      <c r="D4" s="25">
        <v>7.5800000000000006E-2</v>
      </c>
      <c r="E4" s="25">
        <v>1.55E-2</v>
      </c>
      <c r="F4" s="25">
        <v>2.9700000000000001E-2</v>
      </c>
      <c r="G4" s="25">
        <v>0.1192</v>
      </c>
      <c r="H4" s="25">
        <v>4.4500000000000005E-2</v>
      </c>
      <c r="I4" s="25">
        <v>5.3699999999999998E-2</v>
      </c>
      <c r="J4" s="25">
        <v>6.1399999999999996E-2</v>
      </c>
      <c r="K4" s="25">
        <v>3.7900000000000003E-2</v>
      </c>
      <c r="L4" s="25">
        <v>7.3099999999999998E-2</v>
      </c>
      <c r="M4" s="25">
        <v>5.4299999999999994E-2</v>
      </c>
      <c r="N4" s="25">
        <v>-4.0000000000000002E-4</v>
      </c>
      <c r="O4" s="25">
        <v>0.23250000000000001</v>
      </c>
      <c r="P4" s="25">
        <v>1.9599999999999999E-2</v>
      </c>
      <c r="Q4" s="25">
        <v>6.9999999999999993E-3</v>
      </c>
      <c r="R4" s="25">
        <v>1.38E-2</v>
      </c>
      <c r="S4" s="25">
        <v>1.09E-2</v>
      </c>
      <c r="T4" s="25">
        <v>9.1000000000000004E-3</v>
      </c>
      <c r="U4" s="25">
        <v>7.3000000000000001E-3</v>
      </c>
      <c r="V4" s="25">
        <v>9.1000000000000004E-3</v>
      </c>
      <c r="W4" s="25">
        <v>9.8999999999999991E-3</v>
      </c>
      <c r="X4" s="25">
        <v>-6.5444444444444447E-3</v>
      </c>
    </row>
    <row r="5" spans="1:24" x14ac:dyDescent="0.3">
      <c r="A5" t="s">
        <v>10</v>
      </c>
      <c r="B5" s="25">
        <v>-9.7000000000000003E-3</v>
      </c>
      <c r="C5" s="25">
        <v>-0.1308</v>
      </c>
      <c r="D5" s="25">
        <v>-0.1288</v>
      </c>
      <c r="E5" s="25">
        <v>-4.2699999999999995E-2</v>
      </c>
      <c r="F5" s="25">
        <v>-0.17949999999999999</v>
      </c>
      <c r="G5" s="25">
        <v>-0.32030000000000003</v>
      </c>
      <c r="H5" s="25">
        <v>-0.11689999999999999</v>
      </c>
      <c r="I5" s="25">
        <v>-9.8400000000000001E-2</v>
      </c>
      <c r="J5" s="25">
        <v>-0.23749999999999999</v>
      </c>
      <c r="K5" s="25">
        <v>-8.7799999999999989E-2</v>
      </c>
      <c r="L5" s="25">
        <v>-0.11869999999999999</v>
      </c>
      <c r="M5" s="25">
        <v>-0.17180000000000001</v>
      </c>
      <c r="N5" s="25">
        <v>8.0000000000000004E-4</v>
      </c>
      <c r="O5" s="25">
        <v>-0.30630000000000002</v>
      </c>
      <c r="P5" s="25">
        <v>1.3999999999999999E-2</v>
      </c>
      <c r="Q5" s="25">
        <v>9.7999999999999997E-3</v>
      </c>
      <c r="R5" s="25">
        <v>1.03E-2</v>
      </c>
      <c r="S5" s="25">
        <v>9.3999999999999986E-3</v>
      </c>
      <c r="T5" s="25">
        <v>7.3000000000000001E-3</v>
      </c>
      <c r="U5" s="25">
        <v>9.1000000000000004E-3</v>
      </c>
      <c r="V5" s="25">
        <v>7.7000000000000002E-3</v>
      </c>
      <c r="W5" s="25">
        <v>9.4999999999999998E-3</v>
      </c>
      <c r="X5" s="25">
        <v>-3.15E-2</v>
      </c>
    </row>
    <row r="6" spans="1:24" x14ac:dyDescent="0.3">
      <c r="A6" t="s">
        <v>11</v>
      </c>
      <c r="B6" s="25">
        <v>0.10630000000000001</v>
      </c>
      <c r="C6" s="25">
        <v>9.6699999999999994E-2</v>
      </c>
      <c r="D6" s="25">
        <v>3.5099999999999999E-2</v>
      </c>
      <c r="E6" s="25">
        <v>0.12189999999999999</v>
      </c>
      <c r="F6" s="25">
        <v>-3.0000000000000001E-3</v>
      </c>
      <c r="G6" s="25">
        <v>6.7000000000000002E-3</v>
      </c>
      <c r="H6" s="25">
        <v>-1.34E-2</v>
      </c>
      <c r="I6" s="25">
        <v>-3.4099999999999998E-2</v>
      </c>
      <c r="J6" s="25">
        <v>-3.2799999999999996E-2</v>
      </c>
      <c r="K6" s="25">
        <v>2.5999999999999999E-3</v>
      </c>
      <c r="L6" s="25">
        <v>-0.21359999999999998</v>
      </c>
      <c r="M6" s="25">
        <v>-0.157</v>
      </c>
      <c r="N6" s="25">
        <v>-1E-4</v>
      </c>
      <c r="O6" s="25">
        <v>-0.4622</v>
      </c>
      <c r="P6" s="25">
        <v>8.1000000000000013E-3</v>
      </c>
      <c r="Q6" s="25">
        <v>1.32E-2</v>
      </c>
      <c r="R6" s="25">
        <v>9.7999999999999997E-3</v>
      </c>
      <c r="S6" s="25">
        <v>1.11E-2</v>
      </c>
      <c r="T6" s="25">
        <v>1.0500000000000001E-2</v>
      </c>
      <c r="U6" s="25">
        <v>1.46E-2</v>
      </c>
      <c r="V6" s="25">
        <v>1.0700000000000001E-2</v>
      </c>
      <c r="W6" s="25">
        <v>1.2800000000000001E-2</v>
      </c>
      <c r="X6" s="25">
        <v>4.0000000000000002E-4</v>
      </c>
    </row>
    <row r="7" spans="1:24" x14ac:dyDescent="0.3">
      <c r="A7" t="s">
        <v>12</v>
      </c>
      <c r="B7" s="25">
        <v>-7.0900000000000005E-2</v>
      </c>
      <c r="C7" s="25">
        <v>-0.1328</v>
      </c>
      <c r="D7" s="25">
        <v>-0.1119</v>
      </c>
      <c r="E7" s="25">
        <v>-8.1699999999999995E-2</v>
      </c>
      <c r="F7" s="25">
        <v>-4.2199999999999994E-2</v>
      </c>
      <c r="G7" s="25">
        <v>-0.188</v>
      </c>
      <c r="H7" s="25">
        <v>-1.37E-2</v>
      </c>
      <c r="I7" s="25">
        <v>-0.1673</v>
      </c>
      <c r="J7" s="25">
        <v>-0.11650000000000001</v>
      </c>
      <c r="K7" s="25">
        <v>-8.2599999999999993E-2</v>
      </c>
      <c r="L7" s="25">
        <v>-0.34250000000000003</v>
      </c>
      <c r="M7" s="25">
        <v>-0.37770000000000004</v>
      </c>
      <c r="N7" s="25">
        <v>-2.9999999999999997E-4</v>
      </c>
      <c r="O7" s="25">
        <v>-0.2661</v>
      </c>
      <c r="P7" s="25">
        <v>1.01E-2</v>
      </c>
      <c r="Q7" s="25">
        <v>1.1200000000000002E-2</v>
      </c>
      <c r="R7" s="25">
        <v>7.7000000000000002E-3</v>
      </c>
      <c r="S7" s="25">
        <v>1.11E-2</v>
      </c>
      <c r="T7" s="25">
        <v>1.01E-2</v>
      </c>
      <c r="U7" s="25">
        <v>1.18E-2</v>
      </c>
      <c r="V7" s="25">
        <v>1.03E-2</v>
      </c>
      <c r="W7" s="25">
        <v>1.1599999999999999E-2</v>
      </c>
      <c r="X7" s="25">
        <v>-6.4199999999999993E-2</v>
      </c>
    </row>
    <row r="8" spans="1:24" x14ac:dyDescent="0.3">
      <c r="A8" t="s">
        <v>13</v>
      </c>
      <c r="B8" s="25">
        <v>0.22270000000000001</v>
      </c>
      <c r="C8" s="25">
        <v>4.2699999999999995E-2</v>
      </c>
      <c r="D8" s="25">
        <v>-8.8900000000000007E-2</v>
      </c>
      <c r="E8" s="25">
        <v>7.7600000000000002E-2</v>
      </c>
      <c r="F8" s="25">
        <v>6.7500000000000004E-2</v>
      </c>
      <c r="G8" s="25">
        <v>0.19820000000000002</v>
      </c>
      <c r="H8" s="25">
        <v>0.18590000000000001</v>
      </c>
      <c r="I8" s="25">
        <v>-1.3300000000000001E-2</v>
      </c>
      <c r="J8" s="25">
        <v>0.27060000000000001</v>
      </c>
      <c r="K8" s="25">
        <v>9.1999999999999998E-2</v>
      </c>
      <c r="L8" s="25">
        <v>0.2379</v>
      </c>
      <c r="M8" s="25">
        <v>0.17949999999999999</v>
      </c>
      <c r="N8" s="25">
        <v>-1E-4</v>
      </c>
      <c r="O8" s="25">
        <v>0.26229999999999998</v>
      </c>
      <c r="P8" s="25">
        <v>-3.4000000000000002E-3</v>
      </c>
      <c r="Q8" s="25">
        <v>1.2699999999999999E-2</v>
      </c>
      <c r="R8" s="25">
        <v>8.8999999999999999E-3</v>
      </c>
      <c r="S8" s="25">
        <v>1.1000000000000001E-2</v>
      </c>
      <c r="T8" s="25">
        <v>1.03E-2</v>
      </c>
      <c r="U8" s="25">
        <v>1.0800000000000001E-2</v>
      </c>
      <c r="V8" s="25">
        <v>1.04E-2</v>
      </c>
      <c r="W8" s="25">
        <v>1.1000000000000001E-2</v>
      </c>
      <c r="X8" s="25">
        <v>5.8600000000000006E-2</v>
      </c>
    </row>
    <row r="9" spans="1:24" x14ac:dyDescent="0.3">
      <c r="A9" t="s">
        <v>14</v>
      </c>
      <c r="B9" s="25">
        <v>0.19500000000000001</v>
      </c>
      <c r="C9" s="25">
        <v>0.106</v>
      </c>
      <c r="D9" s="25">
        <v>-2.7300000000000001E-2</v>
      </c>
      <c r="E9" s="25">
        <v>0.18149999999999999</v>
      </c>
      <c r="F9" s="25">
        <v>-6.9599999999999995E-2</v>
      </c>
      <c r="G9" s="25">
        <v>-0.16899999999999998</v>
      </c>
      <c r="H9" s="25">
        <v>-1.2800000000000001E-2</v>
      </c>
      <c r="I9" s="25">
        <v>2.41E-2</v>
      </c>
      <c r="J9" s="25">
        <v>-6.0599999999999994E-2</v>
      </c>
      <c r="K9" s="25">
        <v>-4.1299999999999996E-2</v>
      </c>
      <c r="L9" s="25">
        <v>-0.15579999999999999</v>
      </c>
      <c r="M9" s="25">
        <v>-0.1409</v>
      </c>
      <c r="N9" s="25">
        <v>2.0000000000000001E-4</v>
      </c>
      <c r="O9" s="25">
        <v>-0.25769999999999998</v>
      </c>
      <c r="P9" s="25">
        <v>-2.0000000000000001E-4</v>
      </c>
      <c r="Q9" s="25">
        <v>9.7000000000000003E-3</v>
      </c>
      <c r="R9" s="25">
        <v>1.2199999999999999E-2</v>
      </c>
      <c r="S9" s="25">
        <v>1.2800000000000001E-2</v>
      </c>
      <c r="T9" s="25">
        <v>1.18E-2</v>
      </c>
      <c r="U9" s="25">
        <v>1.0200000000000001E-2</v>
      </c>
      <c r="V9" s="25">
        <v>1.18E-2</v>
      </c>
      <c r="W9" s="25">
        <v>9.1000000000000004E-3</v>
      </c>
      <c r="X9" s="25">
        <v>-1.9900000000000001E-2</v>
      </c>
    </row>
    <row r="10" spans="1:24" x14ac:dyDescent="0.3">
      <c r="A10" t="s">
        <v>15</v>
      </c>
      <c r="B10" s="25">
        <v>-0.1032</v>
      </c>
      <c r="C10" s="25">
        <v>8.7899999999999992E-2</v>
      </c>
      <c r="D10" s="25">
        <v>0.11689999999999999</v>
      </c>
      <c r="E10" s="25">
        <v>-6.9900000000000004E-2</v>
      </c>
      <c r="F10" s="25">
        <v>-0.1162</v>
      </c>
      <c r="G10" s="25">
        <v>-0.19550000000000001</v>
      </c>
      <c r="H10" s="25">
        <v>-4.4800000000000006E-2</v>
      </c>
      <c r="I10" s="25">
        <v>-0.16719999999999999</v>
      </c>
      <c r="J10" s="25">
        <v>-0.10859999999999999</v>
      </c>
      <c r="K10" s="25">
        <v>-9.1999999999999998E-2</v>
      </c>
      <c r="L10" s="25">
        <v>2.6200000000000001E-2</v>
      </c>
      <c r="M10" s="25">
        <v>-3.0800000000000001E-2</v>
      </c>
      <c r="N10" s="25">
        <v>0</v>
      </c>
      <c r="O10" s="25">
        <v>5.5300000000000002E-2</v>
      </c>
      <c r="P10" s="25">
        <v>5.0000000000000001E-4</v>
      </c>
      <c r="Q10" s="25">
        <v>7.6E-3</v>
      </c>
      <c r="R10" s="25">
        <v>1.1000000000000001E-2</v>
      </c>
      <c r="S10" s="25">
        <v>1.18E-2</v>
      </c>
      <c r="T10" s="25">
        <v>1.0800000000000001E-2</v>
      </c>
      <c r="U10" s="25">
        <v>8.6999999999999994E-3</v>
      </c>
      <c r="V10" s="25">
        <v>1.0800000000000001E-2</v>
      </c>
      <c r="W10" s="25">
        <v>6.8000000000000005E-3</v>
      </c>
      <c r="X10" s="25">
        <v>-4.1599999999999998E-2</v>
      </c>
    </row>
    <row r="11" spans="1:24" x14ac:dyDescent="0.3">
      <c r="A11" t="s">
        <v>16</v>
      </c>
      <c r="B11" s="25">
        <v>2.9999999999999997E-4</v>
      </c>
      <c r="C11" s="25">
        <v>8.4100000000000008E-2</v>
      </c>
      <c r="D11" s="25">
        <v>-6.8199999999999997E-2</v>
      </c>
      <c r="E11" s="25">
        <v>-3.8900000000000004E-2</v>
      </c>
      <c r="F11" s="25">
        <v>-1.1899999999999999E-2</v>
      </c>
      <c r="G11" s="25">
        <v>0.1119</v>
      </c>
      <c r="H11" s="25">
        <v>9.8100000000000007E-2</v>
      </c>
      <c r="I11" s="25">
        <v>-0.31340000000000001</v>
      </c>
      <c r="J11" s="25">
        <v>-9.35E-2</v>
      </c>
      <c r="K11" s="25">
        <v>8.1199999999999994E-2</v>
      </c>
      <c r="L11" s="25">
        <v>1.0500000000000001E-2</v>
      </c>
      <c r="M11" s="25">
        <v>5.4800000000000001E-2</v>
      </c>
      <c r="N11" s="25">
        <v>-1E-4</v>
      </c>
      <c r="O11" s="25">
        <v>-1.8100000000000002E-2</v>
      </c>
      <c r="P11" s="25">
        <v>9.300000000000001E-3</v>
      </c>
      <c r="Q11" s="25">
        <v>8.0000000000000004E-4</v>
      </c>
      <c r="R11" s="25">
        <v>1.0700000000000001E-2</v>
      </c>
      <c r="S11" s="25">
        <v>1.1200000000000002E-2</v>
      </c>
      <c r="T11" s="25">
        <v>1.03E-2</v>
      </c>
      <c r="U11" s="25">
        <v>8.9999999999999998E-4</v>
      </c>
      <c r="V11" s="25">
        <v>1.04E-2</v>
      </c>
      <c r="W11" s="25">
        <v>8.9999999999999998E-4</v>
      </c>
      <c r="X11" s="25">
        <v>3.3500000000000002E-2</v>
      </c>
    </row>
    <row r="12" spans="1:24" x14ac:dyDescent="0.3">
      <c r="A12" t="s">
        <v>17</v>
      </c>
      <c r="B12" s="25">
        <v>-4.3200000000000002E-2</v>
      </c>
      <c r="C12" s="25">
        <v>-0.14419999999999999</v>
      </c>
      <c r="D12" s="25">
        <v>0.27679999999999999</v>
      </c>
      <c r="E12" s="25">
        <v>-2.4700000000000003E-2</v>
      </c>
      <c r="F12" s="25">
        <v>6.8600000000000008E-2</v>
      </c>
      <c r="G12" s="25">
        <v>0.25420000000000004</v>
      </c>
      <c r="H12" s="25">
        <v>9.9900000000000003E-2</v>
      </c>
      <c r="I12" s="25">
        <v>0.26769999999999999</v>
      </c>
      <c r="J12" s="25">
        <v>-5.7599999999999998E-2</v>
      </c>
      <c r="K12" s="25">
        <v>5.5099999999999996E-2</v>
      </c>
      <c r="L12" s="25">
        <v>-0.184</v>
      </c>
      <c r="M12" s="25">
        <v>-0.1623</v>
      </c>
      <c r="N12" s="25">
        <v>0</v>
      </c>
      <c r="O12" s="25">
        <v>-0.56720000000000004</v>
      </c>
      <c r="P12" s="25">
        <v>7.4999999999999997E-3</v>
      </c>
      <c r="Q12" s="25">
        <v>0.01</v>
      </c>
      <c r="R12" s="25">
        <v>5.5000000000000005E-3</v>
      </c>
      <c r="S12" s="25">
        <v>1.09E-2</v>
      </c>
      <c r="T12" s="25">
        <v>0.01</v>
      </c>
      <c r="U12" s="25">
        <v>6.1999999999999998E-3</v>
      </c>
      <c r="V12" s="25">
        <v>1.01E-2</v>
      </c>
      <c r="W12" s="25">
        <v>6.9999999999999993E-3</v>
      </c>
      <c r="X12" s="25">
        <v>1.06E-2</v>
      </c>
    </row>
    <row r="13" spans="1:24" x14ac:dyDescent="0.3">
      <c r="A13" t="s">
        <v>18</v>
      </c>
      <c r="B13" s="25">
        <v>-8.1000000000000003E-2</v>
      </c>
      <c r="C13" s="25">
        <v>-1.8799999999999997E-2</v>
      </c>
      <c r="D13" s="25">
        <v>4.0500000000000001E-2</v>
      </c>
      <c r="E13" s="25">
        <v>-5.4000000000000003E-3</v>
      </c>
      <c r="F13" s="25">
        <v>-0.1263</v>
      </c>
      <c r="G13" s="25">
        <v>-0.13639999999999999</v>
      </c>
      <c r="H13" s="25">
        <v>-0.1012</v>
      </c>
      <c r="I13" s="25">
        <v>1.9E-2</v>
      </c>
      <c r="J13" s="25">
        <v>-0.12990000000000002</v>
      </c>
      <c r="K13" s="25">
        <v>-5.7300000000000004E-2</v>
      </c>
      <c r="L13" s="25">
        <v>-1.09E-2</v>
      </c>
      <c r="M13" s="25">
        <v>-3.6200000000000003E-2</v>
      </c>
      <c r="N13" s="25">
        <v>0</v>
      </c>
      <c r="O13" s="25">
        <v>-0.29430000000000001</v>
      </c>
      <c r="P13" s="25">
        <v>9.5999999999999992E-3</v>
      </c>
      <c r="Q13" s="25">
        <v>1.0700000000000001E-2</v>
      </c>
      <c r="R13" s="25">
        <v>1.09E-2</v>
      </c>
      <c r="S13" s="25">
        <v>1.2E-2</v>
      </c>
      <c r="T13" s="25">
        <v>1.1299999999999999E-2</v>
      </c>
      <c r="U13" s="25">
        <v>1.01E-2</v>
      </c>
      <c r="V13" s="25">
        <v>1.1299999999999999E-2</v>
      </c>
      <c r="W13" s="25">
        <v>1.11E-2</v>
      </c>
      <c r="X13" s="25">
        <v>-4.7999999999999996E-3</v>
      </c>
    </row>
    <row r="14" spans="1:24" x14ac:dyDescent="0.3">
      <c r="A14" t="s">
        <v>19</v>
      </c>
      <c r="B14" s="25">
        <v>6.4100000000000004E-2</v>
      </c>
      <c r="C14" s="25">
        <v>1.3899999999999999E-2</v>
      </c>
      <c r="D14" s="25">
        <v>6.3299999999999995E-2</v>
      </c>
      <c r="E14" s="25">
        <v>0.17190000000000003</v>
      </c>
      <c r="F14" s="25">
        <v>0.12029999999999999</v>
      </c>
      <c r="G14" s="25">
        <v>0.33689999999999998</v>
      </c>
      <c r="H14" s="25">
        <v>-1.89E-2</v>
      </c>
      <c r="I14" s="25">
        <v>0.2379</v>
      </c>
      <c r="J14" s="25">
        <v>0.22769999999999999</v>
      </c>
      <c r="K14" s="25">
        <v>6.2899999999999998E-2</v>
      </c>
      <c r="L14" s="25">
        <v>0.35109999999999997</v>
      </c>
      <c r="M14" s="25">
        <v>0.39840000000000003</v>
      </c>
      <c r="N14" s="25">
        <v>0</v>
      </c>
      <c r="O14" s="25">
        <v>1.4046000000000001</v>
      </c>
      <c r="P14" s="25">
        <v>8.6999999999999994E-3</v>
      </c>
      <c r="Q14" s="25">
        <v>4.0000000000000001E-3</v>
      </c>
      <c r="R14" s="25">
        <v>1.1299999999999999E-2</v>
      </c>
      <c r="S14" s="25">
        <v>4.8999999999999998E-3</v>
      </c>
      <c r="T14" s="25">
        <v>1.1000000000000001E-2</v>
      </c>
      <c r="U14" s="25">
        <v>3.4000000000000002E-3</v>
      </c>
      <c r="V14" s="25">
        <v>1.1200000000000002E-2</v>
      </c>
      <c r="W14" s="25">
        <v>-6.3E-3</v>
      </c>
      <c r="X14" s="25">
        <v>3.3099999999999997E-2</v>
      </c>
    </row>
    <row r="15" spans="1:24" x14ac:dyDescent="0.3">
      <c r="A15" t="s">
        <v>20</v>
      </c>
      <c r="B15" s="25">
        <v>-3.1800000000000002E-2</v>
      </c>
      <c r="C15" s="25">
        <v>4.5999999999999999E-3</v>
      </c>
      <c r="D15" s="25">
        <v>-9.7200000000000009E-2</v>
      </c>
      <c r="E15" s="25">
        <v>0.01</v>
      </c>
      <c r="F15" s="25">
        <v>-8.8800000000000004E-2</v>
      </c>
      <c r="G15" s="25">
        <v>0.1883</v>
      </c>
      <c r="H15" s="25">
        <v>-6.8600000000000008E-2</v>
      </c>
      <c r="I15" s="25">
        <v>0.17430000000000001</v>
      </c>
      <c r="J15" s="25">
        <v>-8.6300000000000002E-2</v>
      </c>
      <c r="K15" s="25">
        <v>-2.5000000000000001E-2</v>
      </c>
      <c r="L15" s="25">
        <v>1.6299999999999999E-2</v>
      </c>
      <c r="M15" s="25">
        <v>2.9999999999999997E-4</v>
      </c>
      <c r="N15" s="25">
        <v>-2.0000000000000001E-4</v>
      </c>
      <c r="O15" s="25">
        <v>-8.5000000000000006E-2</v>
      </c>
      <c r="P15" s="25">
        <v>1.18E-2</v>
      </c>
      <c r="Q15" s="25">
        <v>-8.3000000000000001E-3</v>
      </c>
      <c r="R15" s="25">
        <v>8.8999999999999999E-3</v>
      </c>
      <c r="S15" s="25">
        <v>1.8E-3</v>
      </c>
      <c r="T15" s="25">
        <v>8.8000000000000005E-3</v>
      </c>
      <c r="U15" s="25">
        <v>-1.0700000000000001E-2</v>
      </c>
      <c r="V15" s="25">
        <v>9.300000000000001E-3</v>
      </c>
      <c r="W15" s="25">
        <v>-4.7999999999999996E-3</v>
      </c>
      <c r="X15" s="25">
        <v>-1.18E-2</v>
      </c>
    </row>
    <row r="16" spans="1:24" x14ac:dyDescent="0.3">
      <c r="A16" t="s">
        <v>21</v>
      </c>
      <c r="B16" s="25">
        <v>-7.0900000000000005E-2</v>
      </c>
      <c r="C16" s="25">
        <v>-1.5300000000000001E-2</v>
      </c>
      <c r="D16" s="25">
        <v>-3.8300000000000001E-2</v>
      </c>
      <c r="E16" s="25">
        <v>-2.0499999999999997E-2</v>
      </c>
      <c r="F16" s="25">
        <v>0.15179999999999999</v>
      </c>
      <c r="G16" s="25">
        <v>0.19670000000000001</v>
      </c>
      <c r="H16" s="25">
        <v>-2.1000000000000001E-2</v>
      </c>
      <c r="I16" s="25">
        <v>0.21149999999999999</v>
      </c>
      <c r="J16" s="25">
        <v>9.6099999999999991E-2</v>
      </c>
      <c r="K16" s="25">
        <v>3.7100000000000001E-2</v>
      </c>
      <c r="L16" s="25">
        <v>0.19140000000000001</v>
      </c>
      <c r="M16" s="25">
        <v>0.2303</v>
      </c>
      <c r="N16" s="25">
        <v>-1E-4</v>
      </c>
      <c r="O16" s="25">
        <v>-3.4000000000000002E-2</v>
      </c>
      <c r="P16" s="25">
        <v>1.0500000000000001E-2</v>
      </c>
      <c r="Q16" s="25">
        <v>8.199999999999999E-3</v>
      </c>
      <c r="R16" s="25">
        <v>1.24E-2</v>
      </c>
      <c r="S16" s="25">
        <v>8.6E-3</v>
      </c>
      <c r="T16" s="25">
        <v>1.1699999999999999E-2</v>
      </c>
      <c r="U16" s="25">
        <v>1.23E-2</v>
      </c>
      <c r="V16" s="25">
        <v>1.18E-2</v>
      </c>
      <c r="W16" s="25">
        <v>1.1200000000000002E-2</v>
      </c>
      <c r="X16" s="25">
        <v>-1.6000000000000001E-3</v>
      </c>
    </row>
    <row r="17" spans="1:24" x14ac:dyDescent="0.3">
      <c r="A17" t="s">
        <v>22</v>
      </c>
      <c r="B17" s="25">
        <v>0.13849999999999998</v>
      </c>
      <c r="C17" s="25">
        <v>4.8399999999999999E-2</v>
      </c>
      <c r="D17" s="25">
        <v>-9.8299999999999998E-2</v>
      </c>
      <c r="E17" s="25">
        <v>9.5899999999999999E-2</v>
      </c>
      <c r="F17" s="25">
        <v>3.4799999999999998E-2</v>
      </c>
      <c r="G17" s="25">
        <v>-1E-3</v>
      </c>
      <c r="H17" s="25">
        <v>1.2800000000000001E-2</v>
      </c>
      <c r="I17" s="25">
        <v>0.13390000000000002</v>
      </c>
      <c r="J17" s="25">
        <v>2.0899999999999998E-2</v>
      </c>
      <c r="K17" s="25">
        <v>1.5900000000000001E-2</v>
      </c>
      <c r="L17" s="25">
        <v>2.7000000000000003E-2</v>
      </c>
      <c r="M17" s="25">
        <v>2.7799999999999998E-2</v>
      </c>
      <c r="N17" s="25">
        <v>2.0000000000000001E-4</v>
      </c>
      <c r="O17" s="25">
        <v>7.85E-2</v>
      </c>
      <c r="P17" s="25">
        <v>9.4999999999999998E-3</v>
      </c>
      <c r="Q17" s="25">
        <v>3.8E-3</v>
      </c>
      <c r="R17" s="25">
        <v>8.6999999999999994E-3</v>
      </c>
      <c r="S17" s="25">
        <v>7.9000000000000008E-3</v>
      </c>
      <c r="T17" s="25">
        <v>8.8999999999999999E-3</v>
      </c>
      <c r="U17" s="25">
        <v>8.199999999999999E-3</v>
      </c>
      <c r="V17" s="25">
        <v>8.8000000000000005E-3</v>
      </c>
      <c r="W17" s="25">
        <v>4.8999999999999998E-3</v>
      </c>
      <c r="X17" s="25">
        <v>9.3999999999999986E-3</v>
      </c>
    </row>
    <row r="18" spans="1:24" x14ac:dyDescent="0.3">
      <c r="A18" t="s">
        <v>23</v>
      </c>
      <c r="B18" s="25">
        <v>0.10210000000000001</v>
      </c>
      <c r="C18" s="25">
        <v>1.6500000000000001E-2</v>
      </c>
      <c r="D18" s="25">
        <v>-0.1186</v>
      </c>
      <c r="E18" s="25">
        <v>4.1100000000000005E-2</v>
      </c>
      <c r="F18" s="25">
        <v>0.1447</v>
      </c>
      <c r="G18" s="25">
        <v>0.36340000000000006</v>
      </c>
      <c r="H18" s="25">
        <v>-4.0000000000000002E-4</v>
      </c>
      <c r="I18" s="25">
        <v>0.10150000000000001</v>
      </c>
      <c r="J18" s="25">
        <v>0.14349999999999999</v>
      </c>
      <c r="K18" s="25">
        <v>4.7999999999999996E-3</v>
      </c>
      <c r="L18" s="25">
        <v>-6.4600000000000005E-2</v>
      </c>
      <c r="M18" s="25">
        <v>-7.0000000000000007E-2</v>
      </c>
      <c r="N18" s="25">
        <v>2.0000000000000001E-4</v>
      </c>
      <c r="O18" s="25">
        <v>-8.7899999999999992E-2</v>
      </c>
      <c r="P18" s="25">
        <v>5.6999999999999993E-3</v>
      </c>
      <c r="Q18" s="25">
        <v>2.86E-2</v>
      </c>
      <c r="R18" s="25">
        <v>1.2E-2</v>
      </c>
      <c r="S18" s="25">
        <v>1.2699999999999999E-2</v>
      </c>
      <c r="T18" s="25">
        <v>1.1299999999999999E-2</v>
      </c>
      <c r="U18" s="25">
        <v>2.8500000000000001E-2</v>
      </c>
      <c r="V18" s="25">
        <v>1.1599999999999999E-2</v>
      </c>
      <c r="W18" s="25">
        <v>2.3300000000000001E-2</v>
      </c>
      <c r="X18" s="25">
        <v>-7.4000000000000003E-3</v>
      </c>
    </row>
    <row r="19" spans="1:24" x14ac:dyDescent="0.3">
      <c r="A19" t="s">
        <v>24</v>
      </c>
      <c r="B19" s="25">
        <v>0.2046</v>
      </c>
      <c r="C19" s="25">
        <v>9.01E-2</v>
      </c>
      <c r="D19" s="25">
        <v>6.4000000000000003E-3</v>
      </c>
      <c r="E19" s="25">
        <v>0.13449999999999998</v>
      </c>
      <c r="F19" s="25">
        <v>-2.58E-2</v>
      </c>
      <c r="G19" s="25">
        <v>0.1182</v>
      </c>
      <c r="H19" s="25">
        <v>-9.5500000000000002E-2</v>
      </c>
      <c r="I19" s="25">
        <v>8.4100000000000008E-2</v>
      </c>
      <c r="J19" s="25">
        <v>8.1099999999999992E-2</v>
      </c>
      <c r="K19" s="25">
        <v>6.5099999999999991E-2</v>
      </c>
      <c r="L19" s="25">
        <v>5.1500000000000004E-2</v>
      </c>
      <c r="M19" s="25">
        <v>0.1197</v>
      </c>
      <c r="N19" s="25">
        <v>1E-4</v>
      </c>
      <c r="O19" s="25">
        <v>-9.2499999999999999E-2</v>
      </c>
      <c r="P19" s="25">
        <v>2.5999999999999999E-3</v>
      </c>
      <c r="Q19" s="25">
        <v>2.2700000000000001E-2</v>
      </c>
      <c r="R19" s="25">
        <v>1.24E-2</v>
      </c>
      <c r="S19" s="25">
        <v>1.2199999999999999E-2</v>
      </c>
      <c r="T19" s="25">
        <v>1.09E-2</v>
      </c>
      <c r="U19" s="25">
        <v>2.3900000000000001E-2</v>
      </c>
      <c r="V19" s="25">
        <v>1.11E-2</v>
      </c>
      <c r="W19" s="25">
        <v>1.8600000000000002E-2</v>
      </c>
      <c r="X19" s="25">
        <v>1.34E-2</v>
      </c>
    </row>
    <row r="20" spans="1:24" x14ac:dyDescent="0.3">
      <c r="A20" t="s">
        <v>42</v>
      </c>
      <c r="B20" s="25">
        <v>5.3499999999999999E-2</v>
      </c>
      <c r="C20" s="25">
        <v>8.3999999999999995E-3</v>
      </c>
      <c r="D20" s="25">
        <v>7.690000000000001E-2</v>
      </c>
      <c r="E20" s="25">
        <v>-2.4500000000000001E-2</v>
      </c>
      <c r="F20" s="25">
        <v>0.10880000000000001</v>
      </c>
      <c r="G20" s="25">
        <v>0.1047</v>
      </c>
      <c r="H20" s="25">
        <v>1.2800000000000001E-2</v>
      </c>
      <c r="I20" s="25">
        <v>0.11019999999999999</v>
      </c>
      <c r="J20" s="25">
        <v>2.5499999999999998E-2</v>
      </c>
      <c r="K20" s="25">
        <v>3.2899999999999999E-2</v>
      </c>
      <c r="L20" s="25">
        <v>-3.8900000000000004E-2</v>
      </c>
      <c r="M20" s="25">
        <v>-4.0899999999999999E-2</v>
      </c>
      <c r="N20" s="25">
        <v>-2.0000000000000001E-4</v>
      </c>
      <c r="O20" s="25">
        <v>0.25530000000000003</v>
      </c>
      <c r="P20" s="25">
        <v>4.5999999999999999E-3</v>
      </c>
      <c r="Q20" s="25">
        <v>2.18E-2</v>
      </c>
      <c r="R20" s="25">
        <v>1.1200000000000002E-2</v>
      </c>
      <c r="S20" s="25">
        <v>1.2500000000000001E-2</v>
      </c>
      <c r="T20" s="25">
        <v>1.06E-2</v>
      </c>
      <c r="U20" s="25">
        <v>2.4900000000000002E-2</v>
      </c>
      <c r="V20" s="25">
        <v>1.06E-2</v>
      </c>
      <c r="W20" s="25">
        <v>1.95E-2</v>
      </c>
      <c r="X20" s="25">
        <v>1.2800000000000001E-2</v>
      </c>
    </row>
    <row r="21" spans="1:24" x14ac:dyDescent="0.3">
      <c r="A21" t="s">
        <v>43</v>
      </c>
      <c r="B21" s="25">
        <v>6.5799999999999997E-2</v>
      </c>
      <c r="C21" s="25">
        <v>-4.1700000000000001E-2</v>
      </c>
      <c r="D21" s="25">
        <v>-3.0600000000000002E-2</v>
      </c>
      <c r="E21" s="25">
        <v>-5.6000000000000008E-3</v>
      </c>
      <c r="F21" s="25">
        <v>2.6000000000000002E-2</v>
      </c>
      <c r="G21" s="25">
        <v>5.62E-2</v>
      </c>
      <c r="H21" s="25">
        <v>3.9399999999999998E-2</v>
      </c>
      <c r="I21" s="25">
        <v>-7.1300000000000002E-2</v>
      </c>
      <c r="J21" s="25">
        <v>3.2400000000000005E-2</v>
      </c>
      <c r="K21" s="25">
        <v>-1.6299999999999999E-2</v>
      </c>
      <c r="L21" s="25">
        <v>-6.83E-2</v>
      </c>
      <c r="M21" s="25">
        <v>-0.11289999999999999</v>
      </c>
      <c r="N21" s="25">
        <v>1E-4</v>
      </c>
      <c r="O21" s="25">
        <v>-0.16800000000000001</v>
      </c>
      <c r="P21" s="25">
        <v>5.6999999999999993E-3</v>
      </c>
      <c r="Q21" s="25">
        <v>1.9299999999999998E-2</v>
      </c>
      <c r="R21" s="25">
        <v>1.1200000000000002E-2</v>
      </c>
      <c r="S21" s="25">
        <v>1.2800000000000001E-2</v>
      </c>
      <c r="T21" s="25">
        <v>1.15E-2</v>
      </c>
      <c r="U21" s="25">
        <v>1.8000000000000002E-2</v>
      </c>
      <c r="V21" s="25">
        <v>1.1699999999999999E-2</v>
      </c>
      <c r="W21" s="25">
        <v>1.67E-2</v>
      </c>
      <c r="X21" s="25">
        <v>4.1999999999999997E-3</v>
      </c>
    </row>
    <row r="22" spans="1:24" x14ac:dyDescent="0.3">
      <c r="A22" t="s">
        <v>44</v>
      </c>
      <c r="B22" s="25">
        <v>8.4499999999999992E-2</v>
      </c>
      <c r="C22" s="25">
        <v>2.3999999999999998E-3</v>
      </c>
      <c r="D22" s="25">
        <v>3.8399999999999997E-2</v>
      </c>
      <c r="E22" s="25">
        <v>8.8000000000000005E-3</v>
      </c>
      <c r="F22" s="25">
        <v>-3.9E-2</v>
      </c>
      <c r="G22" s="25">
        <v>-0.1186</v>
      </c>
      <c r="H22" s="25">
        <v>-7.0099999999999996E-2</v>
      </c>
      <c r="I22" s="25">
        <v>1.46E-2</v>
      </c>
      <c r="J22" s="25">
        <v>-7.8899999999999998E-2</v>
      </c>
      <c r="K22" s="25">
        <v>-4.7400000000000005E-2</v>
      </c>
      <c r="L22" s="25">
        <v>5.3399999999999996E-2</v>
      </c>
      <c r="M22" s="25">
        <v>0.04</v>
      </c>
      <c r="N22" s="25">
        <v>0</v>
      </c>
      <c r="O22" s="25">
        <v>8.4100000000000008E-2</v>
      </c>
      <c r="P22" s="25">
        <v>6.0000000000000001E-3</v>
      </c>
      <c r="Q22" s="25">
        <v>1.0200000000000001E-2</v>
      </c>
      <c r="R22" s="25">
        <v>8.0000000000000002E-3</v>
      </c>
      <c r="S22" s="25">
        <v>1.1599999999999999E-2</v>
      </c>
      <c r="T22" s="25">
        <v>9.7000000000000003E-3</v>
      </c>
      <c r="U22" s="25">
        <v>9.1999999999999998E-3</v>
      </c>
      <c r="V22" s="25">
        <v>0.01</v>
      </c>
      <c r="W22" s="25">
        <v>9.300000000000001E-3</v>
      </c>
      <c r="X22" s="25">
        <v>-1.0500000000000001E-2</v>
      </c>
    </row>
    <row r="23" spans="1:24" x14ac:dyDescent="0.3">
      <c r="A23" t="s">
        <v>45</v>
      </c>
      <c r="B23" s="25">
        <v>2.8999999999999998E-3</v>
      </c>
      <c r="C23" s="25">
        <v>-1.37E-2</v>
      </c>
      <c r="D23" s="25">
        <v>2.1000000000000001E-2</v>
      </c>
      <c r="E23" s="25">
        <v>2.4799999999999999E-2</v>
      </c>
      <c r="F23" s="25">
        <v>-5.1799999999999999E-2</v>
      </c>
      <c r="G23" s="25">
        <v>-6.25E-2</v>
      </c>
      <c r="H23" s="25">
        <v>2.0799999999999999E-2</v>
      </c>
      <c r="I23" s="25">
        <v>3.4999999999999996E-3</v>
      </c>
      <c r="J23" s="25">
        <v>4.7E-2</v>
      </c>
      <c r="K23" s="25">
        <v>-2.1700000000000001E-2</v>
      </c>
      <c r="L23" s="25">
        <v>0.27239999999999998</v>
      </c>
      <c r="M23" s="25">
        <v>0.28550000000000003</v>
      </c>
      <c r="N23" s="25">
        <v>-2.0000000000000001E-4</v>
      </c>
      <c r="O23" s="25">
        <v>0.80040000000000011</v>
      </c>
      <c r="P23" s="25">
        <v>5.7999999999999996E-3</v>
      </c>
      <c r="Q23" s="25">
        <v>1.23E-2</v>
      </c>
      <c r="R23" s="25">
        <v>6.5000000000000006E-3</v>
      </c>
      <c r="S23" s="25">
        <v>1.1399999999999999E-2</v>
      </c>
      <c r="T23" s="25">
        <v>9.8999999999999991E-3</v>
      </c>
      <c r="U23" s="25">
        <v>9.5999999999999992E-3</v>
      </c>
      <c r="V23" s="25">
        <v>9.7999999999999997E-3</v>
      </c>
      <c r="W23" s="25">
        <v>9.8999999999999991E-3</v>
      </c>
      <c r="X23" s="25">
        <v>-1.4800000000000001E-2</v>
      </c>
    </row>
    <row r="24" spans="1:24" x14ac:dyDescent="0.3">
      <c r="A24" t="s">
        <v>46</v>
      </c>
      <c r="B24" s="25">
        <v>7.4200000000000002E-2</v>
      </c>
      <c r="C24" s="25">
        <v>0.17859999999999998</v>
      </c>
      <c r="D24" s="25">
        <v>0.1033</v>
      </c>
      <c r="E24" s="25">
        <v>0.12240000000000001</v>
      </c>
      <c r="F24" s="25">
        <v>6.8099999999999994E-2</v>
      </c>
      <c r="G24" s="25">
        <v>0.1469</v>
      </c>
      <c r="H24" s="25">
        <v>0.1258</v>
      </c>
      <c r="I24" s="25">
        <v>8.5900000000000004E-2</v>
      </c>
      <c r="J24" s="25">
        <v>9.7699999999999995E-2</v>
      </c>
      <c r="K24" s="25">
        <v>9.1700000000000004E-2</v>
      </c>
      <c r="L24" s="25">
        <v>7.51E-2</v>
      </c>
      <c r="M24" s="25">
        <v>8.7799999999999989E-2</v>
      </c>
      <c r="N24" s="25">
        <v>1E-4</v>
      </c>
      <c r="O24" s="25">
        <v>0.53799999999999992</v>
      </c>
      <c r="P24" s="25">
        <v>6.1999999999999998E-3</v>
      </c>
      <c r="Q24" s="25">
        <v>8.0000000000000002E-3</v>
      </c>
      <c r="R24" s="25">
        <v>1.2E-2</v>
      </c>
      <c r="S24" s="25">
        <v>1.1000000000000001E-2</v>
      </c>
      <c r="T24" s="25">
        <v>9.0000000000000011E-3</v>
      </c>
      <c r="U24" s="25">
        <v>1.1599999999999999E-2</v>
      </c>
      <c r="V24" s="25">
        <v>9.0000000000000011E-3</v>
      </c>
      <c r="W24" s="25">
        <v>8.199999999999999E-3</v>
      </c>
      <c r="X24" s="25">
        <v>3.9900000000000005E-2</v>
      </c>
    </row>
    <row r="25" spans="1:24" x14ac:dyDescent="0.3">
      <c r="A25" t="s">
        <v>47</v>
      </c>
      <c r="B25" s="25">
        <v>3.7000000000000005E-2</v>
      </c>
      <c r="C25" s="25">
        <v>8.4399999999999989E-2</v>
      </c>
      <c r="D25" s="25">
        <v>4.5400000000000003E-2</v>
      </c>
      <c r="E25" s="25">
        <v>2.7099999999999999E-2</v>
      </c>
      <c r="F25" s="25">
        <v>5.4000000000000006E-2</v>
      </c>
      <c r="G25" s="25">
        <v>5.8899999999999994E-2</v>
      </c>
      <c r="H25" s="25">
        <v>4.53E-2</v>
      </c>
      <c r="I25" s="25">
        <v>8.1900000000000001E-2</v>
      </c>
      <c r="J25" s="25">
        <v>0.04</v>
      </c>
      <c r="K25" s="25">
        <v>4.58E-2</v>
      </c>
      <c r="L25" s="25">
        <v>0.15340000000000001</v>
      </c>
      <c r="M25" s="25">
        <v>0.1207</v>
      </c>
      <c r="N25" s="25">
        <v>1E-4</v>
      </c>
      <c r="O25" s="25">
        <v>0.71340000000000003</v>
      </c>
      <c r="P25" s="25">
        <v>9.0000000000000011E-3</v>
      </c>
      <c r="Q25" s="25">
        <v>1.04E-2</v>
      </c>
      <c r="R25" s="25">
        <v>1.0200000000000001E-2</v>
      </c>
      <c r="S25" s="25">
        <v>1.0700000000000001E-2</v>
      </c>
      <c r="T25" s="25">
        <v>8.8999999999999999E-3</v>
      </c>
      <c r="U25" s="25">
        <v>1.11E-2</v>
      </c>
      <c r="V25" s="25">
        <v>9.1000000000000004E-3</v>
      </c>
      <c r="W25" s="25">
        <v>1.11E-2</v>
      </c>
      <c r="X25" s="25">
        <v>3.5299999999999998E-2</v>
      </c>
    </row>
    <row r="26" spans="1:24" x14ac:dyDescent="0.3">
      <c r="A26" t="s">
        <v>48</v>
      </c>
      <c r="B26" s="25">
        <v>9.4499999999999987E-2</v>
      </c>
      <c r="C26" s="25">
        <v>-3.4500000000000003E-2</v>
      </c>
      <c r="D26" s="25">
        <v>-0.12230000000000001</v>
      </c>
      <c r="E26" s="25">
        <v>1.9099999999999999E-2</v>
      </c>
      <c r="F26" s="25">
        <v>2.8999999999999998E-3</v>
      </c>
      <c r="G26" s="25">
        <v>0.24239999999999998</v>
      </c>
      <c r="H26" s="25">
        <v>-6.4000000000000003E-3</v>
      </c>
      <c r="I26" s="25">
        <v>0.10220000000000001</v>
      </c>
      <c r="J26" s="25">
        <v>2.1499999999999998E-2</v>
      </c>
      <c r="K26" s="25">
        <v>1.61E-2</v>
      </c>
      <c r="L26" s="25">
        <v>-6.7000000000000002E-3</v>
      </c>
      <c r="M26" s="25">
        <v>7.4999999999999997E-3</v>
      </c>
      <c r="N26" s="25">
        <v>1E-4</v>
      </c>
      <c r="O26" s="25">
        <v>-4.41E-2</v>
      </c>
      <c r="P26" s="25">
        <v>7.6E-3</v>
      </c>
      <c r="Q26" s="25">
        <v>1.8700000000000001E-2</v>
      </c>
      <c r="R26" s="25">
        <v>8.8999999999999999E-3</v>
      </c>
      <c r="S26" s="25">
        <v>1.2199999999999999E-2</v>
      </c>
      <c r="T26" s="25">
        <v>9.7000000000000003E-3</v>
      </c>
      <c r="U26" s="25">
        <v>1.6E-2</v>
      </c>
      <c r="V26" s="25">
        <v>9.7999999999999997E-3</v>
      </c>
      <c r="W26" s="25">
        <v>1.6899999999999998E-2</v>
      </c>
      <c r="X26" s="25">
        <v>-1.7000000000000001E-3</v>
      </c>
    </row>
    <row r="27" spans="1:24" x14ac:dyDescent="0.3">
      <c r="A27" t="s">
        <v>49</v>
      </c>
      <c r="B27" s="25">
        <v>-1.52E-2</v>
      </c>
      <c r="C27" s="25">
        <v>6.9900000000000004E-2</v>
      </c>
      <c r="D27" s="25">
        <v>-1.1399999999999999E-2</v>
      </c>
      <c r="E27" s="25">
        <v>2.5000000000000001E-2</v>
      </c>
      <c r="F27" s="25">
        <v>-1.1699999999999999E-2</v>
      </c>
      <c r="G27" s="25">
        <v>0.2858</v>
      </c>
      <c r="H27" s="25">
        <v>-2.7200000000000002E-2</v>
      </c>
      <c r="I27" s="25">
        <v>0.2576</v>
      </c>
      <c r="J27" s="25">
        <v>0.1389</v>
      </c>
      <c r="K27" s="25">
        <v>5.21E-2</v>
      </c>
      <c r="L27" s="25">
        <v>0.46729999999999999</v>
      </c>
      <c r="M27" s="25">
        <v>0.43719999999999998</v>
      </c>
      <c r="N27" s="25">
        <v>-4.0000000000000002E-4</v>
      </c>
      <c r="O27" s="25">
        <v>0.29559999999999997</v>
      </c>
      <c r="P27" s="25">
        <v>1.1699999999999999E-2</v>
      </c>
      <c r="Q27" s="25">
        <v>2.6699999999999998E-2</v>
      </c>
      <c r="R27" s="25">
        <v>7.6E-3</v>
      </c>
      <c r="S27" s="25">
        <v>0.01</v>
      </c>
      <c r="T27" s="25">
        <v>8.0000000000000002E-3</v>
      </c>
      <c r="U27" s="25">
        <v>2.3700000000000002E-2</v>
      </c>
      <c r="V27" s="25">
        <v>8.1000000000000013E-3</v>
      </c>
      <c r="W27" s="25">
        <v>2.5499999999999998E-2</v>
      </c>
      <c r="X27" s="25">
        <v>4.0999999999999995E-3</v>
      </c>
    </row>
    <row r="28" spans="1:24" x14ac:dyDescent="0.3">
      <c r="A28" t="s">
        <v>50</v>
      </c>
      <c r="B28" s="25">
        <v>-6.93E-2</v>
      </c>
      <c r="C28" s="25">
        <v>2.8399999999999998E-2</v>
      </c>
      <c r="D28" s="25">
        <v>-5.1299999999999998E-2</v>
      </c>
      <c r="E28" s="25">
        <v>-1.44E-2</v>
      </c>
      <c r="F28" s="25">
        <v>9.01E-2</v>
      </c>
      <c r="G28" s="25">
        <v>0.14219999999999999</v>
      </c>
      <c r="H28" s="25">
        <v>0.12689999999999999</v>
      </c>
      <c r="I28" s="25">
        <v>-9.300000000000001E-3</v>
      </c>
      <c r="J28" s="25">
        <v>2.0499999999999997E-2</v>
      </c>
      <c r="K28" s="25">
        <v>3.2799999999999996E-2</v>
      </c>
      <c r="L28" s="25">
        <v>0.1338</v>
      </c>
      <c r="M28" s="25">
        <v>0.1656</v>
      </c>
      <c r="N28" s="25">
        <v>2.0000000000000001E-4</v>
      </c>
      <c r="O28" s="25">
        <v>0.61380000000000001</v>
      </c>
      <c r="P28" s="25">
        <v>5.0000000000000001E-3</v>
      </c>
      <c r="Q28" s="25">
        <v>1.1599999999999999E-2</v>
      </c>
      <c r="R28" s="25">
        <v>8.0000000000000002E-3</v>
      </c>
      <c r="S28" s="25">
        <v>1.03E-2</v>
      </c>
      <c r="T28" s="25">
        <v>8.199999999999999E-3</v>
      </c>
      <c r="U28" s="25">
        <v>9.7999999999999997E-3</v>
      </c>
      <c r="V28" s="25">
        <v>8.3999999999999995E-3</v>
      </c>
      <c r="W28" s="25">
        <v>1.1000000000000001E-2</v>
      </c>
      <c r="X28" s="25">
        <v>1.29E-2</v>
      </c>
    </row>
    <row r="29" spans="1:24" x14ac:dyDescent="0.3">
      <c r="A29" t="s">
        <v>51</v>
      </c>
      <c r="B29" s="25">
        <v>0.15620000000000001</v>
      </c>
      <c r="C29" s="25">
        <v>-9.4200000000000006E-2</v>
      </c>
      <c r="D29" s="25">
        <v>4.0399999999999998E-2</v>
      </c>
      <c r="E29" s="25">
        <v>-3.1400000000000004E-2</v>
      </c>
      <c r="F29" s="25">
        <v>7.85E-2</v>
      </c>
      <c r="G29" s="25">
        <v>-4.3799999999999999E-2</v>
      </c>
      <c r="H29" s="25">
        <v>-5.1500000000000004E-2</v>
      </c>
      <c r="I29" s="25">
        <v>-0.11410000000000001</v>
      </c>
      <c r="J29" s="25">
        <v>-2.98E-2</v>
      </c>
      <c r="K29" s="25">
        <v>-4.0099999999999997E-2</v>
      </c>
      <c r="L29" s="25">
        <v>-0.13159999999999999</v>
      </c>
      <c r="M29" s="25">
        <v>-0.15</v>
      </c>
      <c r="N29" s="25">
        <v>-1E-4</v>
      </c>
      <c r="O29" s="25">
        <v>-0.37420000000000003</v>
      </c>
      <c r="P29" s="25">
        <v>7.1999999999999998E-3</v>
      </c>
      <c r="Q29" s="25">
        <v>7.8000000000000005E-3</v>
      </c>
      <c r="R29" s="25">
        <v>6.0000000000000001E-3</v>
      </c>
      <c r="S29" s="25">
        <v>9.4999999999999998E-3</v>
      </c>
      <c r="T29" s="25">
        <v>8.8000000000000005E-3</v>
      </c>
      <c r="U29" s="25">
        <v>5.0000000000000001E-3</v>
      </c>
      <c r="V29" s="25">
        <v>9.0000000000000011E-3</v>
      </c>
      <c r="W29" s="25">
        <v>7.9000000000000008E-3</v>
      </c>
      <c r="X29" s="25">
        <v>-8.199999999999999E-3</v>
      </c>
    </row>
    <row r="30" spans="1:24" x14ac:dyDescent="0.3">
      <c r="A30" t="s">
        <v>52</v>
      </c>
      <c r="B30" s="25">
        <v>-3.6299999999999999E-2</v>
      </c>
      <c r="C30" s="25">
        <v>-0.01</v>
      </c>
      <c r="D30" s="25">
        <v>-1.4000000000000002E-3</v>
      </c>
      <c r="E30" s="25">
        <v>-1.09E-2</v>
      </c>
      <c r="F30" s="25">
        <v>5.9699999999999996E-2</v>
      </c>
      <c r="G30" s="25">
        <v>0.26890000000000003</v>
      </c>
      <c r="H30" s="25">
        <v>-1.37E-2</v>
      </c>
      <c r="I30" s="25">
        <v>8.5199999999999998E-2</v>
      </c>
      <c r="J30" s="25">
        <v>8.199999999999999E-3</v>
      </c>
      <c r="K30" s="25">
        <v>5.0300000000000004E-2</v>
      </c>
      <c r="L30" s="25">
        <v>0.15359999999999999</v>
      </c>
      <c r="M30" s="25">
        <v>0.113</v>
      </c>
      <c r="N30" s="25">
        <v>2.0000000000000001E-4</v>
      </c>
      <c r="O30" s="25">
        <v>0.30459999999999998</v>
      </c>
      <c r="P30" s="25">
        <v>8.0000000000000002E-3</v>
      </c>
      <c r="Q30" s="25">
        <v>9.4999999999999998E-3</v>
      </c>
      <c r="R30" s="25">
        <v>8.3999999999999995E-3</v>
      </c>
      <c r="S30" s="25">
        <v>8.8999999999999999E-3</v>
      </c>
      <c r="T30" s="25">
        <v>8.199999999999999E-3</v>
      </c>
      <c r="U30" s="25">
        <v>8.6E-3</v>
      </c>
      <c r="V30" s="25">
        <v>8.3000000000000001E-3</v>
      </c>
      <c r="W30" s="25">
        <v>9.7000000000000003E-3</v>
      </c>
      <c r="X30" s="25">
        <v>8.3000000000000001E-3</v>
      </c>
    </row>
    <row r="31" spans="1:24" x14ac:dyDescent="0.3">
      <c r="A31" t="s">
        <v>53</v>
      </c>
      <c r="B31" s="25">
        <v>8.8999999999999999E-3</v>
      </c>
      <c r="C31" s="25">
        <v>5.3399999999999996E-2</v>
      </c>
      <c r="D31" s="25">
        <v>-1.55E-2</v>
      </c>
      <c r="E31" s="25">
        <v>9.300000000000001E-3</v>
      </c>
      <c r="F31" s="25">
        <v>5.7200000000000001E-2</v>
      </c>
      <c r="G31" s="25">
        <v>0.12689999999999999</v>
      </c>
      <c r="H31" s="25">
        <v>2.5000000000000001E-2</v>
      </c>
      <c r="I31" s="25">
        <v>8.1199999999999994E-2</v>
      </c>
      <c r="J31" s="25">
        <v>9.5299999999999996E-2</v>
      </c>
      <c r="K31" s="25">
        <v>3.5699999999999996E-2</v>
      </c>
      <c r="L31" s="25">
        <v>-5.7800000000000004E-2</v>
      </c>
      <c r="M31" s="25">
        <v>-7.1300000000000002E-2</v>
      </c>
      <c r="N31" s="25">
        <v>-2.0000000000000001E-4</v>
      </c>
      <c r="O31" s="25">
        <v>-0.11560000000000001</v>
      </c>
      <c r="P31" s="25">
        <v>5.5000000000000005E-3</v>
      </c>
      <c r="Q31" s="25">
        <v>1.1299999999999999E-2</v>
      </c>
      <c r="R31" s="25">
        <v>7.4000000000000003E-3</v>
      </c>
      <c r="S31" s="25">
        <v>8.6E-3</v>
      </c>
      <c r="T31" s="25">
        <v>8.0000000000000002E-3</v>
      </c>
      <c r="U31" s="25">
        <v>7.4000000000000003E-3</v>
      </c>
      <c r="V31" s="25">
        <v>8.1000000000000013E-3</v>
      </c>
      <c r="W31" s="25">
        <v>9.7999999999999997E-3</v>
      </c>
      <c r="X31" s="25">
        <v>1.2500000000000001E-2</v>
      </c>
    </row>
    <row r="32" spans="1:24" x14ac:dyDescent="0.3">
      <c r="A32" t="s">
        <v>54</v>
      </c>
      <c r="B32" s="25">
        <v>-1.6799999999999999E-2</v>
      </c>
      <c r="C32" s="25">
        <v>4.5899999999999996E-2</v>
      </c>
      <c r="D32" s="25">
        <v>-9.4999999999999998E-3</v>
      </c>
      <c r="E32" s="25">
        <v>-6.0000000000000001E-3</v>
      </c>
      <c r="F32" s="25">
        <v>-5.8200000000000002E-2</v>
      </c>
      <c r="G32" s="25">
        <v>-5.28E-2</v>
      </c>
      <c r="H32" s="25">
        <v>0.1231</v>
      </c>
      <c r="I32" s="25">
        <v>-5.8299999999999998E-2</v>
      </c>
      <c r="J32" s="25">
        <v>-3.2400000000000005E-2</v>
      </c>
      <c r="K32" s="25">
        <v>1.1599999999999999E-2</v>
      </c>
      <c r="L32" s="25">
        <v>8.8200000000000001E-2</v>
      </c>
      <c r="M32" s="25">
        <v>3.1E-2</v>
      </c>
      <c r="N32" s="25">
        <v>1E-4</v>
      </c>
      <c r="O32" s="25">
        <v>0.1729</v>
      </c>
      <c r="P32" s="25">
        <v>7.1999999999999998E-3</v>
      </c>
      <c r="Q32" s="25">
        <v>1.52E-2</v>
      </c>
      <c r="R32" s="25">
        <v>8.8000000000000005E-3</v>
      </c>
      <c r="S32" s="25">
        <v>1.0500000000000001E-2</v>
      </c>
      <c r="T32" s="25">
        <v>9.0000000000000011E-3</v>
      </c>
      <c r="U32" s="25">
        <v>1.18E-2</v>
      </c>
      <c r="V32" s="25">
        <v>9.1999999999999998E-3</v>
      </c>
      <c r="W32" s="25">
        <v>1.24E-2</v>
      </c>
      <c r="X32" s="25">
        <v>1.95E-2</v>
      </c>
    </row>
    <row r="33" spans="1:24" x14ac:dyDescent="0.3">
      <c r="A33" t="s">
        <v>55</v>
      </c>
      <c r="B33" s="25">
        <v>8.2299999999999998E-2</v>
      </c>
      <c r="C33" s="25">
        <v>8.3800000000000013E-2</v>
      </c>
      <c r="D33" s="25">
        <v>2.0999999999999999E-3</v>
      </c>
      <c r="E33" s="25">
        <v>7.6700000000000004E-2</v>
      </c>
      <c r="F33" s="25">
        <v>-4.7599999999999996E-2</v>
      </c>
      <c r="G33" s="25">
        <v>2.0099999999999996E-2</v>
      </c>
      <c r="H33" s="25">
        <v>6.5000000000000002E-2</v>
      </c>
      <c r="I33" s="25">
        <v>9.7899999999999987E-2</v>
      </c>
      <c r="J33" s="25">
        <v>-4.5400000000000003E-2</v>
      </c>
      <c r="K33" s="25">
        <v>2.3900000000000001E-2</v>
      </c>
      <c r="L33" s="25">
        <v>-9.820000000000001E-2</v>
      </c>
      <c r="M33" s="25">
        <v>-8.7400000000000005E-2</v>
      </c>
      <c r="N33" s="25">
        <v>-1E-4</v>
      </c>
      <c r="O33" s="25">
        <v>-0.21210000000000001</v>
      </c>
      <c r="P33" s="25">
        <v>3.2000000000000002E-3</v>
      </c>
      <c r="Q33" s="25">
        <v>1.3999999999999999E-2</v>
      </c>
      <c r="R33" s="25">
        <v>8.5000000000000006E-3</v>
      </c>
      <c r="S33" s="25">
        <v>9.4999999999999998E-3</v>
      </c>
      <c r="T33" s="25">
        <v>8.6999999999999994E-3</v>
      </c>
      <c r="U33" s="25">
        <v>0.01</v>
      </c>
      <c r="V33" s="25">
        <v>9.0000000000000011E-3</v>
      </c>
      <c r="W33" s="25">
        <v>1.09E-2</v>
      </c>
      <c r="X33" s="25">
        <v>1.8000000000000002E-2</v>
      </c>
    </row>
    <row r="34" spans="1:24" x14ac:dyDescent="0.3">
      <c r="A34" t="s">
        <v>56</v>
      </c>
      <c r="B34" s="25">
        <v>-8.5299999999999987E-2</v>
      </c>
      <c r="C34" s="25">
        <v>-8.199999999999999E-3</v>
      </c>
      <c r="D34" s="25">
        <v>6.6000000000000003E-2</v>
      </c>
      <c r="E34" s="25">
        <v>-2.7099999999999999E-2</v>
      </c>
      <c r="F34" s="25">
        <v>1.6500000000000001E-2</v>
      </c>
      <c r="G34" s="25">
        <v>1.7399999999999999E-2</v>
      </c>
      <c r="H34" s="25">
        <v>1.6299999999999999E-2</v>
      </c>
      <c r="I34" s="25">
        <v>9.9100000000000008E-2</v>
      </c>
      <c r="J34" s="25">
        <v>4.3899999999999995E-2</v>
      </c>
      <c r="K34" s="25">
        <v>2.18E-2</v>
      </c>
      <c r="L34" s="25">
        <v>3.9599999999999996E-2</v>
      </c>
      <c r="M34" s="25">
        <v>7.3899999999999993E-2</v>
      </c>
      <c r="N34" s="25">
        <v>0</v>
      </c>
      <c r="O34" s="25">
        <v>0.12740000000000001</v>
      </c>
      <c r="P34" s="25">
        <v>7.8000000000000005E-3</v>
      </c>
      <c r="Q34" s="25">
        <v>1.5100000000000001E-2</v>
      </c>
      <c r="R34" s="25">
        <v>7.1999999999999998E-3</v>
      </c>
      <c r="S34" s="25">
        <v>8.8999999999999999E-3</v>
      </c>
      <c r="T34" s="25">
        <v>8.0000000000000002E-3</v>
      </c>
      <c r="U34" s="25">
        <v>1.2699999999999999E-2</v>
      </c>
      <c r="V34" s="25">
        <v>8.6E-3</v>
      </c>
      <c r="W34" s="25">
        <v>1.32E-2</v>
      </c>
      <c r="X34" s="25">
        <v>1.7500000000000002E-2</v>
      </c>
    </row>
    <row r="35" spans="1:24" x14ac:dyDescent="0.3">
      <c r="A35" t="s">
        <v>57</v>
      </c>
      <c r="B35" s="25">
        <v>-2.8000000000000004E-3</v>
      </c>
      <c r="C35" s="25">
        <v>-2.9700000000000001E-2</v>
      </c>
      <c r="D35" s="25">
        <v>-2.2799999999999997E-2</v>
      </c>
      <c r="E35" s="25">
        <v>-3.1300000000000001E-2</v>
      </c>
      <c r="F35" s="25">
        <v>3.1699999999999999E-2</v>
      </c>
      <c r="G35" s="25">
        <v>9.3200000000000005E-2</v>
      </c>
      <c r="H35" s="25">
        <v>1.2500000000000001E-2</v>
      </c>
      <c r="I35" s="25">
        <v>-8.5000000000000006E-3</v>
      </c>
      <c r="J35" s="25">
        <v>4.0000000000000002E-4</v>
      </c>
      <c r="K35" s="25">
        <v>-9.4999999999999998E-3</v>
      </c>
      <c r="L35" s="25">
        <v>0.17190000000000003</v>
      </c>
      <c r="M35" s="25">
        <v>0.10869999999999999</v>
      </c>
      <c r="N35" s="25">
        <v>1E-4</v>
      </c>
      <c r="O35" s="25">
        <v>0.1036</v>
      </c>
      <c r="P35" s="25">
        <v>9.0000000000000011E-3</v>
      </c>
      <c r="Q35" s="25">
        <v>7.9000000000000008E-3</v>
      </c>
      <c r="R35" s="25">
        <v>8.5000000000000006E-3</v>
      </c>
      <c r="S35" s="25">
        <v>9.3999999999999986E-3</v>
      </c>
      <c r="T35" s="25">
        <v>9.1000000000000004E-3</v>
      </c>
      <c r="U35" s="25">
        <v>8.6E-3</v>
      </c>
      <c r="V35" s="25">
        <v>9.7000000000000003E-3</v>
      </c>
      <c r="W35" s="25">
        <v>9.300000000000001E-3</v>
      </c>
      <c r="X35" s="25">
        <v>-4.5000000000000005E-3</v>
      </c>
    </row>
    <row r="36" spans="1:24" x14ac:dyDescent="0.3">
      <c r="A36" t="s">
        <v>58</v>
      </c>
      <c r="B36" s="25">
        <v>8.3299999999999999E-2</v>
      </c>
      <c r="C36" s="25">
        <v>-6.8600000000000008E-2</v>
      </c>
      <c r="D36" s="25">
        <v>-5.2900000000000003E-2</v>
      </c>
      <c r="E36" s="25">
        <v>-4.1299999999999996E-2</v>
      </c>
      <c r="F36" s="25">
        <v>-1.26E-2</v>
      </c>
      <c r="G36" s="25">
        <v>4.1399999999999999E-2</v>
      </c>
      <c r="H36" s="25">
        <v>0.12269999999999999</v>
      </c>
      <c r="I36" s="25">
        <v>1.1899999999999999E-2</v>
      </c>
      <c r="J36" s="25">
        <v>0.1153</v>
      </c>
      <c r="K36" s="25">
        <v>5.8899999999999994E-2</v>
      </c>
      <c r="L36" s="25">
        <v>0.3896</v>
      </c>
      <c r="M36" s="25">
        <v>0.37359999999999999</v>
      </c>
      <c r="N36" s="25">
        <v>0</v>
      </c>
      <c r="O36" s="25">
        <v>0.41149999999999998</v>
      </c>
      <c r="P36" s="25">
        <v>7.3000000000000001E-3</v>
      </c>
      <c r="Q36" s="25">
        <v>6.8000000000000005E-3</v>
      </c>
      <c r="R36" s="25">
        <v>7.1999999999999998E-3</v>
      </c>
      <c r="S36" s="25">
        <v>8.199999999999999E-3</v>
      </c>
      <c r="T36" s="25">
        <v>7.9000000000000008E-3</v>
      </c>
      <c r="U36" s="25">
        <v>3.0000000000000001E-3</v>
      </c>
      <c r="V36" s="25">
        <v>8.3000000000000001E-3</v>
      </c>
      <c r="W36" s="25">
        <v>5.4000000000000003E-3</v>
      </c>
      <c r="X36" s="25">
        <v>1.18E-2</v>
      </c>
    </row>
    <row r="37" spans="1:24" x14ac:dyDescent="0.3">
      <c r="A37" t="s">
        <v>59</v>
      </c>
      <c r="B37" s="25">
        <v>4.3E-3</v>
      </c>
      <c r="C37" s="25">
        <v>-4.7899999999999998E-2</v>
      </c>
      <c r="D37" s="25">
        <v>-6.3700000000000007E-2</v>
      </c>
      <c r="E37" s="25">
        <v>-1.7399999999999999E-2</v>
      </c>
      <c r="F37" s="25">
        <v>0.1217</v>
      </c>
      <c r="G37" s="25">
        <v>-2.86E-2</v>
      </c>
      <c r="H37" s="25">
        <v>-6.5700000000000008E-2</v>
      </c>
      <c r="I37" s="25">
        <v>2.0299999999999999E-2</v>
      </c>
      <c r="J37" s="25">
        <v>5.5300000000000002E-2</v>
      </c>
      <c r="K37" s="25">
        <v>-2.3300000000000001E-2</v>
      </c>
      <c r="L37" s="25">
        <v>3.8399999999999997E-2</v>
      </c>
      <c r="M37" s="25">
        <v>-3.1300000000000001E-2</v>
      </c>
      <c r="N37" s="25">
        <v>-1E-4</v>
      </c>
      <c r="O37" s="25">
        <v>-0.2039</v>
      </c>
      <c r="P37" s="25">
        <v>8.6E-3</v>
      </c>
      <c r="Q37" s="25">
        <v>8.5000000000000006E-3</v>
      </c>
      <c r="R37" s="25">
        <v>6.4000000000000003E-3</v>
      </c>
      <c r="S37" s="25">
        <v>7.3000000000000001E-3</v>
      </c>
      <c r="T37" s="25">
        <v>8.5000000000000006E-3</v>
      </c>
      <c r="U37" s="25">
        <v>6.8999999999999999E-3</v>
      </c>
      <c r="V37" s="25">
        <v>8.6E-3</v>
      </c>
      <c r="W37" s="25">
        <v>8.199999999999999E-3</v>
      </c>
      <c r="X37" s="25">
        <v>-4.7999999999999996E-3</v>
      </c>
    </row>
    <row r="38" spans="1:24" x14ac:dyDescent="0.3">
      <c r="A38" t="s">
        <v>60</v>
      </c>
      <c r="B38" s="25">
        <v>4.1399999999999999E-2</v>
      </c>
      <c r="C38" s="25">
        <v>0.1009</v>
      </c>
      <c r="D38" s="25">
        <v>-6.9999999999999993E-3</v>
      </c>
      <c r="E38" s="25">
        <v>0.1452</v>
      </c>
      <c r="F38" s="25">
        <v>7.7800000000000008E-2</v>
      </c>
      <c r="G38" s="25">
        <v>-0.10589999999999999</v>
      </c>
      <c r="H38" s="25">
        <v>6.5099999999999991E-2</v>
      </c>
      <c r="I38" s="25">
        <v>0.17710000000000001</v>
      </c>
      <c r="J38" s="25">
        <v>8.3400000000000002E-2</v>
      </c>
      <c r="K38" s="25">
        <v>2.69E-2</v>
      </c>
      <c r="L38" s="25">
        <v>1.11E-2</v>
      </c>
      <c r="M38" s="25">
        <v>9.6099999999999991E-2</v>
      </c>
      <c r="N38" s="25">
        <v>1E-4</v>
      </c>
      <c r="O38" s="25">
        <v>0.22390000000000002</v>
      </c>
      <c r="P38" s="25">
        <v>5.0000000000000001E-3</v>
      </c>
      <c r="Q38" s="25">
        <v>5.7999999999999996E-3</v>
      </c>
      <c r="R38" s="25">
        <v>1.15E-2</v>
      </c>
      <c r="S38" s="25">
        <v>1.1000000000000001E-2</v>
      </c>
      <c r="T38" s="25">
        <v>1.04E-2</v>
      </c>
      <c r="U38" s="25">
        <v>1.01E-2</v>
      </c>
      <c r="V38" s="25">
        <v>1.0800000000000001E-2</v>
      </c>
      <c r="W38" s="25">
        <v>9.4999999999999998E-3</v>
      </c>
      <c r="X38" s="25">
        <v>1.1399999999999999E-2</v>
      </c>
    </row>
    <row r="39" spans="1:24" x14ac:dyDescent="0.3">
      <c r="A39" t="s">
        <v>61</v>
      </c>
      <c r="B39" s="25">
        <v>-4.6699999999999998E-2</v>
      </c>
      <c r="C39" s="25">
        <v>-9.7999999999999997E-3</v>
      </c>
      <c r="D39" s="25">
        <v>1.8100000000000002E-2</v>
      </c>
      <c r="E39" s="25">
        <v>-1.34E-2</v>
      </c>
      <c r="F39" s="25">
        <v>-0.16539999999999999</v>
      </c>
      <c r="G39" s="25">
        <v>4.0399999999999998E-2</v>
      </c>
      <c r="H39" s="25">
        <v>5.3E-3</v>
      </c>
      <c r="I39" s="25">
        <v>-3.04E-2</v>
      </c>
      <c r="J39" s="25">
        <v>-0.1069</v>
      </c>
      <c r="K39" s="25">
        <v>-1.2699999999999999E-2</v>
      </c>
      <c r="L39" s="25">
        <v>-0.1646</v>
      </c>
      <c r="M39" s="25">
        <v>-0.17610000000000001</v>
      </c>
      <c r="N39" s="25">
        <v>-2.9999999999999997E-4</v>
      </c>
      <c r="O39" s="25">
        <v>-0.36090000000000005</v>
      </c>
      <c r="P39" s="25">
        <v>1.6500000000000001E-2</v>
      </c>
      <c r="Q39" s="25">
        <v>1.55E-2</v>
      </c>
      <c r="R39" s="25">
        <v>9.300000000000001E-3</v>
      </c>
      <c r="S39" s="25">
        <v>1.04E-2</v>
      </c>
      <c r="T39" s="25">
        <v>9.7000000000000003E-3</v>
      </c>
      <c r="U39" s="25">
        <v>1.23E-2</v>
      </c>
      <c r="V39" s="25">
        <v>9.8999999999999991E-3</v>
      </c>
      <c r="W39" s="25">
        <v>1.26E-2</v>
      </c>
      <c r="X39" s="25">
        <v>6.8000000000000005E-3</v>
      </c>
    </row>
    <row r="40" spans="1:24" x14ac:dyDescent="0.3">
      <c r="A40" t="s">
        <v>62</v>
      </c>
      <c r="B40" s="25">
        <v>3.4200000000000001E-2</v>
      </c>
      <c r="C40" s="25">
        <v>8.2299999999999998E-2</v>
      </c>
      <c r="D40" s="25">
        <v>6.8199999999999997E-2</v>
      </c>
      <c r="E40" s="25">
        <v>5.6600000000000004E-2</v>
      </c>
      <c r="F40" s="25">
        <v>-9.0800000000000006E-2</v>
      </c>
      <c r="G40" s="25">
        <v>-0.1323</v>
      </c>
      <c r="H40" s="25">
        <v>-8.0500000000000002E-2</v>
      </c>
      <c r="I40" s="25">
        <v>-0.13669999999999999</v>
      </c>
      <c r="J40" s="25">
        <v>-0.10369999999999999</v>
      </c>
      <c r="K40" s="25">
        <v>-5.6100000000000004E-2</v>
      </c>
      <c r="L40" s="25">
        <v>-5.2900000000000003E-2</v>
      </c>
      <c r="M40" s="25">
        <v>-2.1600000000000001E-2</v>
      </c>
      <c r="N40" s="25">
        <v>0</v>
      </c>
      <c r="O40" s="25">
        <v>-0.15759999999999999</v>
      </c>
      <c r="P40" s="25">
        <v>9.0000000000000011E-3</v>
      </c>
      <c r="Q40" s="25">
        <v>1.2199999999999999E-2</v>
      </c>
      <c r="R40" s="25">
        <v>8.5000000000000006E-3</v>
      </c>
      <c r="S40" s="25">
        <v>1.03E-2</v>
      </c>
      <c r="T40" s="25">
        <v>9.3999999999999986E-3</v>
      </c>
      <c r="U40" s="25">
        <v>1.06E-2</v>
      </c>
      <c r="V40" s="25">
        <v>9.5999999999999992E-3</v>
      </c>
      <c r="W40" s="25">
        <v>9.8999999999999991E-3</v>
      </c>
      <c r="X40" s="25">
        <v>-1.04E-2</v>
      </c>
    </row>
    <row r="41" spans="1:24" x14ac:dyDescent="0.3">
      <c r="A41" t="s">
        <v>63</v>
      </c>
      <c r="B41" s="25">
        <v>-0.17300000000000001</v>
      </c>
      <c r="C41" s="25">
        <v>0.13339999999999999</v>
      </c>
      <c r="D41" s="25">
        <v>-6.7699999999999996E-2</v>
      </c>
      <c r="E41" s="25">
        <v>2.63E-2</v>
      </c>
      <c r="F41" s="25">
        <v>2.69E-2</v>
      </c>
      <c r="G41" s="25">
        <v>5.0000000000000001E-3</v>
      </c>
      <c r="H41" s="25">
        <v>4.5999999999999999E-3</v>
      </c>
      <c r="I41" s="25">
        <v>-4.7500000000000001E-2</v>
      </c>
      <c r="J41" s="25">
        <v>-3.0699999999999998E-2</v>
      </c>
      <c r="K41" s="25">
        <v>-8.1000000000000013E-3</v>
      </c>
      <c r="L41" s="25">
        <v>0.13189999999999999</v>
      </c>
      <c r="M41" s="25">
        <v>0.14119999999999999</v>
      </c>
      <c r="N41" s="25">
        <v>2.0000000000000001E-4</v>
      </c>
      <c r="O41" s="25">
        <v>0.184</v>
      </c>
      <c r="P41" s="25">
        <v>7.7000000000000002E-3</v>
      </c>
      <c r="Q41" s="25">
        <v>6.0000000000000001E-3</v>
      </c>
      <c r="R41" s="25">
        <v>1.1899999999999999E-2</v>
      </c>
      <c r="S41" s="25">
        <v>1.09E-2</v>
      </c>
      <c r="T41" s="25">
        <v>1.03E-2</v>
      </c>
      <c r="U41" s="25">
        <v>1.1599999999999999E-2</v>
      </c>
      <c r="V41" s="25">
        <v>1.03E-2</v>
      </c>
      <c r="W41" s="25">
        <v>1.0200000000000001E-2</v>
      </c>
      <c r="X41" s="25">
        <v>4.7999999999999996E-3</v>
      </c>
    </row>
    <row r="42" spans="1:24" x14ac:dyDescent="0.3">
      <c r="A42" t="s">
        <v>64</v>
      </c>
      <c r="B42" s="25">
        <v>3.0299999999999997E-2</v>
      </c>
      <c r="C42" s="25">
        <v>5.2499999999999998E-2</v>
      </c>
      <c r="D42" s="25">
        <v>-1.44E-2</v>
      </c>
      <c r="E42" s="25">
        <v>-0.1905</v>
      </c>
      <c r="F42" s="25">
        <v>8.1500000000000003E-2</v>
      </c>
      <c r="G42" s="25">
        <v>0.24059999999999998</v>
      </c>
      <c r="H42" s="25">
        <v>9.6199999999999994E-2</v>
      </c>
      <c r="I42" s="25">
        <v>0.1794</v>
      </c>
      <c r="J42" s="25">
        <v>0.1116</v>
      </c>
      <c r="K42" s="25">
        <v>6.2800000000000009E-2</v>
      </c>
      <c r="L42" s="25">
        <v>0.11259999999999999</v>
      </c>
      <c r="M42" s="25">
        <v>0.11070000000000001</v>
      </c>
      <c r="N42" s="25">
        <v>-2.0000000000000001E-4</v>
      </c>
      <c r="O42" s="25">
        <v>6.0899999999999996E-2</v>
      </c>
      <c r="P42" s="25">
        <v>6.0000000000000001E-3</v>
      </c>
      <c r="Q42" s="25">
        <v>1.6399999999999998E-2</v>
      </c>
      <c r="R42" s="25">
        <v>1.04E-2</v>
      </c>
      <c r="S42" s="25">
        <v>1.2E-2</v>
      </c>
      <c r="T42" s="25">
        <v>1.1299999999999999E-2</v>
      </c>
      <c r="U42" s="25">
        <v>1.01E-2</v>
      </c>
      <c r="V42" s="25">
        <v>1.15E-2</v>
      </c>
      <c r="W42" s="25">
        <v>1.18E-2</v>
      </c>
      <c r="X42" s="25">
        <v>1.44E-2</v>
      </c>
    </row>
    <row r="43" spans="1:24" x14ac:dyDescent="0.3">
      <c r="A43" t="s">
        <v>65</v>
      </c>
      <c r="B43" s="25">
        <v>4.6100000000000002E-2</v>
      </c>
      <c r="C43" s="25">
        <v>-3.2000000000000002E-3</v>
      </c>
      <c r="D43" s="25">
        <v>1.06E-2</v>
      </c>
      <c r="E43" s="25">
        <v>-3.9300000000000002E-2</v>
      </c>
      <c r="F43" s="25">
        <v>2.7400000000000001E-2</v>
      </c>
      <c r="G43" s="25">
        <v>0.16930000000000001</v>
      </c>
      <c r="H43" s="25">
        <v>7.3700000000000002E-2</v>
      </c>
      <c r="I43" s="25">
        <v>0.14080000000000001</v>
      </c>
      <c r="J43" s="25">
        <v>7.0099999999999996E-2</v>
      </c>
      <c r="K43" s="25">
        <v>5.1699999999999996E-2</v>
      </c>
      <c r="L43" s="25">
        <v>-2.12E-2</v>
      </c>
      <c r="M43" s="25">
        <v>2.3900000000000001E-2</v>
      </c>
      <c r="N43" s="25">
        <v>2.0000000000000001E-4</v>
      </c>
      <c r="O43" s="25">
        <v>-1.2199999999999999E-2</v>
      </c>
      <c r="P43" s="25">
        <v>5.7999999999999996E-3</v>
      </c>
      <c r="Q43" s="25">
        <v>1.6500000000000001E-2</v>
      </c>
      <c r="R43" s="25">
        <v>1.04E-2</v>
      </c>
      <c r="S43" s="25">
        <v>1.1200000000000002E-2</v>
      </c>
      <c r="T43" s="25">
        <v>1.09E-2</v>
      </c>
      <c r="U43" s="25">
        <v>1.5600000000000001E-2</v>
      </c>
      <c r="V43" s="25">
        <v>1.1000000000000001E-2</v>
      </c>
      <c r="W43" s="25">
        <v>1.38E-2</v>
      </c>
      <c r="X43" s="25">
        <v>1.6299999999999999E-2</v>
      </c>
    </row>
    <row r="44" spans="1:24" x14ac:dyDescent="0.3">
      <c r="A44" t="s">
        <v>66</v>
      </c>
      <c r="B44" s="25">
        <v>4.0199999999999993E-2</v>
      </c>
      <c r="C44" s="25">
        <v>-4.8000000000000001E-2</v>
      </c>
      <c r="D44" s="25">
        <v>1.54E-2</v>
      </c>
      <c r="E44" s="25">
        <v>-0.1082</v>
      </c>
      <c r="F44" s="25">
        <v>8.8900000000000007E-2</v>
      </c>
      <c r="G44" s="25">
        <v>0.1258</v>
      </c>
      <c r="H44" s="25">
        <v>7.5999999999999998E-2</v>
      </c>
      <c r="I44" s="25">
        <v>4.7899999999999998E-2</v>
      </c>
      <c r="J44" s="25">
        <v>6.7099999999999993E-2</v>
      </c>
      <c r="K44" s="25">
        <v>2.29E-2</v>
      </c>
      <c r="L44" s="25">
        <v>0.11320000000000001</v>
      </c>
      <c r="M44" s="25">
        <v>8.0500000000000002E-2</v>
      </c>
      <c r="N44" s="25">
        <v>0</v>
      </c>
      <c r="O44" s="25">
        <v>0.1143</v>
      </c>
      <c r="P44" s="25">
        <v>6.0000000000000001E-3</v>
      </c>
      <c r="Q44" s="25">
        <v>2.0499999999999997E-2</v>
      </c>
      <c r="R44" s="25">
        <v>1.0200000000000001E-2</v>
      </c>
      <c r="S44" s="25">
        <v>1.3000000000000001E-2</v>
      </c>
      <c r="T44" s="25">
        <v>1.26E-2</v>
      </c>
      <c r="U44" s="25">
        <v>1.3000000000000001E-2</v>
      </c>
      <c r="V44" s="25">
        <v>1.2800000000000001E-2</v>
      </c>
      <c r="W44" s="25">
        <v>1.52E-2</v>
      </c>
      <c r="X44" s="25">
        <v>5.1999999999999998E-3</v>
      </c>
    </row>
    <row r="45" spans="1:24" x14ac:dyDescent="0.3">
      <c r="A45" t="s">
        <v>67</v>
      </c>
      <c r="B45" s="25">
        <v>-2.5600000000000001E-2</v>
      </c>
      <c r="C45" s="25">
        <v>0.10589999999999999</v>
      </c>
      <c r="D45" s="25">
        <v>7.5800000000000006E-2</v>
      </c>
      <c r="E45" s="25">
        <v>8.5800000000000001E-2</v>
      </c>
      <c r="F45" s="25">
        <v>0.10949999999999999</v>
      </c>
      <c r="G45" s="25">
        <v>-2.07E-2</v>
      </c>
      <c r="H45" s="25">
        <v>-1.54E-2</v>
      </c>
      <c r="I45" s="25">
        <v>-4.4900000000000002E-2</v>
      </c>
      <c r="J45" s="25">
        <v>-2.18E-2</v>
      </c>
      <c r="K45" s="25">
        <v>2.0799999999999999E-2</v>
      </c>
      <c r="L45" s="25">
        <v>-0.1002</v>
      </c>
      <c r="M45" s="25">
        <v>-6.5000000000000002E-2</v>
      </c>
      <c r="N45" s="25">
        <v>-2.0000000000000001E-4</v>
      </c>
      <c r="O45" s="25">
        <v>0.16489999999999999</v>
      </c>
      <c r="P45" s="25">
        <v>2.3E-3</v>
      </c>
      <c r="Q45" s="25">
        <v>1.7600000000000001E-2</v>
      </c>
      <c r="R45" s="25">
        <v>1.2E-2</v>
      </c>
      <c r="S45" s="25">
        <v>1.1699999999999999E-2</v>
      </c>
      <c r="T45" s="25">
        <v>1.15E-2</v>
      </c>
      <c r="U45" s="25">
        <v>1.6899999999999998E-2</v>
      </c>
      <c r="V45" s="25">
        <v>1.1599999999999999E-2</v>
      </c>
      <c r="W45" s="25">
        <v>1.5700000000000002E-2</v>
      </c>
      <c r="X45" s="25">
        <v>1.2699999999999999E-2</v>
      </c>
    </row>
    <row r="46" spans="1:24" x14ac:dyDescent="0.3">
      <c r="A46" t="s">
        <v>68</v>
      </c>
      <c r="B46" s="25">
        <v>1.1599999999999999E-2</v>
      </c>
      <c r="C46" s="25">
        <v>1.55E-2</v>
      </c>
      <c r="D46" s="25">
        <v>3.6400000000000002E-2</v>
      </c>
      <c r="E46" s="25">
        <v>3.27E-2</v>
      </c>
      <c r="F46" s="25">
        <v>0.14279999999999998</v>
      </c>
      <c r="G46" s="25">
        <v>7.1300000000000002E-2</v>
      </c>
      <c r="H46" s="25">
        <v>-6.3799999999999996E-2</v>
      </c>
      <c r="I46" s="25">
        <v>-5.1999999999999998E-3</v>
      </c>
      <c r="J46" s="25">
        <v>-4.1200000000000001E-2</v>
      </c>
      <c r="K46" s="25">
        <v>3.5499999999999997E-2</v>
      </c>
      <c r="L46" s="25">
        <v>3.7100000000000001E-2</v>
      </c>
      <c r="M46" s="25">
        <v>5.3800000000000001E-2</v>
      </c>
      <c r="N46" s="25">
        <v>0</v>
      </c>
      <c r="O46" s="25">
        <v>3.9199999999999999E-2</v>
      </c>
      <c r="P46" s="25">
        <v>8.199999999999999E-3</v>
      </c>
      <c r="Q46" s="25">
        <v>3.1600000000000003E-2</v>
      </c>
      <c r="R46" s="25">
        <v>1.15E-2</v>
      </c>
      <c r="S46" s="25">
        <v>1.2800000000000001E-2</v>
      </c>
      <c r="T46" s="25">
        <v>1.2E-2</v>
      </c>
      <c r="U46" s="25">
        <v>2.1299999999999999E-2</v>
      </c>
      <c r="V46" s="25">
        <v>1.21E-2</v>
      </c>
      <c r="W46" s="25">
        <v>2.3E-2</v>
      </c>
      <c r="X46" s="25">
        <v>7.1999999999999998E-3</v>
      </c>
    </row>
    <row r="47" spans="1:24" x14ac:dyDescent="0.3">
      <c r="A47" t="s">
        <v>69</v>
      </c>
      <c r="B47" s="25">
        <v>-5.4400000000000004E-2</v>
      </c>
      <c r="C47" s="25">
        <v>9.8999999999999991E-3</v>
      </c>
      <c r="D47" s="25">
        <v>0.13339999999999999</v>
      </c>
      <c r="E47" s="25">
        <v>-8.6E-3</v>
      </c>
      <c r="F47" s="25">
        <v>0.15670000000000001</v>
      </c>
      <c r="G47" s="25">
        <v>8.5299999999999987E-2</v>
      </c>
      <c r="H47" s="25">
        <v>-3.3500000000000002E-2</v>
      </c>
      <c r="I47" s="25">
        <v>-0.11710000000000001</v>
      </c>
      <c r="J47" s="25">
        <v>0.11230000000000001</v>
      </c>
      <c r="K47" s="25">
        <v>2.3900000000000001E-2</v>
      </c>
      <c r="L47" s="25">
        <v>-2.2200000000000001E-2</v>
      </c>
      <c r="M47" s="25">
        <v>-3.95E-2</v>
      </c>
      <c r="N47" s="25">
        <v>-1E-4</v>
      </c>
      <c r="O47" s="25">
        <v>-0.1032</v>
      </c>
      <c r="P47" s="25">
        <v>4.3E-3</v>
      </c>
      <c r="Q47" s="25">
        <v>-3.9000000000000003E-3</v>
      </c>
      <c r="R47" s="25">
        <v>1.23E-2</v>
      </c>
      <c r="S47" s="25">
        <v>1.24E-2</v>
      </c>
      <c r="T47" s="25">
        <v>1.26E-2</v>
      </c>
      <c r="U47" s="25">
        <v>4.8999999999999998E-3</v>
      </c>
      <c r="V47" s="25">
        <v>1.2800000000000001E-2</v>
      </c>
      <c r="W47" s="25">
        <v>5.0000000000000001E-4</v>
      </c>
      <c r="X47" s="25">
        <v>1.2999999999999999E-3</v>
      </c>
    </row>
    <row r="48" spans="1:24" x14ac:dyDescent="0.3">
      <c r="A48" t="s">
        <v>70</v>
      </c>
      <c r="B48" s="25">
        <v>6.8600000000000008E-2</v>
      </c>
      <c r="C48" s="25">
        <v>5.6299999999999996E-2</v>
      </c>
      <c r="D48" s="25">
        <v>3.2799999999999996E-2</v>
      </c>
      <c r="E48" s="25">
        <v>2.6000000000000002E-2</v>
      </c>
      <c r="F48" s="25">
        <v>0.13869999999999999</v>
      </c>
      <c r="G48" s="25">
        <v>-0.12590000000000001</v>
      </c>
      <c r="H48" s="25">
        <v>6.3500000000000001E-2</v>
      </c>
      <c r="I48" s="25">
        <v>-5.9999999999999995E-4</v>
      </c>
      <c r="J48" s="25">
        <v>-4.4999999999999998E-2</v>
      </c>
      <c r="K48" s="25">
        <v>2.2000000000000001E-3</v>
      </c>
      <c r="L48" s="25">
        <v>-0.17499999999999999</v>
      </c>
      <c r="M48" s="25">
        <v>-0.17489999999999997</v>
      </c>
      <c r="N48" s="25">
        <v>1E-4</v>
      </c>
      <c r="O48" s="25">
        <v>-0.28649999999999998</v>
      </c>
      <c r="P48" s="25">
        <v>5.1999999999999998E-3</v>
      </c>
      <c r="Q48" s="25">
        <v>8.3000000000000001E-3</v>
      </c>
      <c r="R48" s="25">
        <v>1.1699999999999999E-2</v>
      </c>
      <c r="S48" s="25">
        <v>1.04E-2</v>
      </c>
      <c r="T48" s="25">
        <v>1.04E-2</v>
      </c>
      <c r="U48" s="25">
        <v>9.7000000000000003E-3</v>
      </c>
      <c r="V48" s="25">
        <v>1.0500000000000001E-2</v>
      </c>
      <c r="W48" s="25">
        <v>6.6E-3</v>
      </c>
      <c r="X48" s="25">
        <v>4.0999999999999995E-3</v>
      </c>
    </row>
    <row r="49" spans="1:24" x14ac:dyDescent="0.3">
      <c r="A49" t="s">
        <v>71</v>
      </c>
      <c r="B49" s="25">
        <v>-2.0000000000000001E-4</v>
      </c>
      <c r="C49" s="25">
        <v>2.63E-2</v>
      </c>
      <c r="D49" s="25">
        <v>0.1235</v>
      </c>
      <c r="E49" s="25">
        <v>-1.9299999999999998E-2</v>
      </c>
      <c r="F49" s="25">
        <v>-1.9099999999999999E-2</v>
      </c>
      <c r="G49" s="25">
        <v>5.96E-2</v>
      </c>
      <c r="H49" s="25">
        <v>8.3100000000000007E-2</v>
      </c>
      <c r="I49" s="25">
        <v>2.86E-2</v>
      </c>
      <c r="J49" s="25">
        <v>-3.0000000000000001E-3</v>
      </c>
      <c r="K49" s="25">
        <v>8.1000000000000013E-3</v>
      </c>
      <c r="L49" s="25">
        <v>-1.3100000000000001E-2</v>
      </c>
      <c r="M49" s="25">
        <v>-2.1700000000000001E-2</v>
      </c>
      <c r="N49" s="25">
        <v>-1E-4</v>
      </c>
      <c r="O49" s="25">
        <v>-6.4600000000000005E-2</v>
      </c>
      <c r="P49" s="25">
        <v>7.4000000000000003E-3</v>
      </c>
      <c r="Q49" s="25">
        <v>8.199999999999999E-3</v>
      </c>
      <c r="R49" s="25">
        <v>1.0700000000000001E-2</v>
      </c>
      <c r="S49" s="25">
        <v>1.2500000000000001E-2</v>
      </c>
      <c r="T49" s="25">
        <v>1.21E-2</v>
      </c>
      <c r="U49" s="25">
        <v>9.0000000000000011E-3</v>
      </c>
      <c r="V49" s="25">
        <v>1.2199999999999999E-2</v>
      </c>
      <c r="W49" s="25">
        <v>8.3999999999999995E-3</v>
      </c>
      <c r="X49" s="25">
        <v>8.3000000000000001E-3</v>
      </c>
    </row>
    <row r="53" spans="1:24" x14ac:dyDescent="0.3">
      <c r="B53">
        <v>100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825A-8AEE-4572-9F34-0E561B99DE5F}">
  <sheetPr>
    <tabColor theme="7" tint="0.79998168889431442"/>
  </sheetPr>
  <dimension ref="A1:X24"/>
  <sheetViews>
    <sheetView topLeftCell="B1" workbookViewId="0">
      <selection activeCell="F1" sqref="F1"/>
    </sheetView>
  </sheetViews>
  <sheetFormatPr defaultRowHeight="14.4" x14ac:dyDescent="0.3"/>
  <sheetData>
    <row r="1" spans="1:24" x14ac:dyDescent="0.3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</row>
    <row r="2" spans="1:24" x14ac:dyDescent="0.3">
      <c r="A2" s="1" t="s">
        <v>1</v>
      </c>
      <c r="B2" s="10">
        <f>VARP('Dados - Histórico retorno'!$B$2:$B$49)</f>
        <v>6.4921550934488349E-3</v>
      </c>
      <c r="C2" s="10">
        <f>B3</f>
        <v>6.9168750363166097E-4</v>
      </c>
      <c r="D2" s="10">
        <f>B4</f>
        <v>-1.0220322205392576E-3</v>
      </c>
      <c r="E2" s="10">
        <f>B5</f>
        <v>2.7038549884849761E-3</v>
      </c>
      <c r="F2" s="10">
        <f>B6</f>
        <v>6.8299471619897992E-4</v>
      </c>
      <c r="G2" s="10">
        <f>B7</f>
        <v>9.8593081216340694E-4</v>
      </c>
      <c r="H2" s="10">
        <f>B8</f>
        <v>6.4654545590632072E-4</v>
      </c>
      <c r="I2" s="10">
        <f>B9</f>
        <v>8.006510265199826E-4</v>
      </c>
      <c r="J2" s="10">
        <f>B10</f>
        <v>2.5212180986040251E-3</v>
      </c>
      <c r="K2" s="10">
        <f>B11</f>
        <v>8.0738167995323155E-4</v>
      </c>
      <c r="L2" s="10">
        <f>B12</f>
        <v>-5.0851056335034033E-4</v>
      </c>
      <c r="M2" s="10">
        <f>B13</f>
        <v>-3.3189459059665278E-5</v>
      </c>
      <c r="N2" s="10">
        <f>B14</f>
        <v>2.1946489689625855E-6</v>
      </c>
      <c r="O2" s="10">
        <f>B15</f>
        <v>-8.2113921015802003E-4</v>
      </c>
      <c r="P2" s="10">
        <f>B16</f>
        <v>-1.1979282862103177E-4</v>
      </c>
      <c r="Q2" s="10">
        <f>B17</f>
        <v>1.1784561073908732E-4</v>
      </c>
      <c r="R2" s="10">
        <f>B18</f>
        <v>1.7254340277777087E-7</v>
      </c>
      <c r="S2" s="10">
        <f>B19</f>
        <v>1.6494183407738112E-5</v>
      </c>
      <c r="T2" s="10">
        <f>B20</f>
        <v>4.5174640376984196E-6</v>
      </c>
      <c r="U2" s="10">
        <f>B21</f>
        <v>9.7813707647493602E-5</v>
      </c>
      <c r="V2" s="10">
        <f>B22</f>
        <v>4.3699138144841333E-6</v>
      </c>
      <c r="W2" s="10">
        <f>B23</f>
        <v>4.7942429315476218E-5</v>
      </c>
      <c r="X2" s="10">
        <f>B24</f>
        <v>4.4281002776570035E-4</v>
      </c>
    </row>
    <row r="3" spans="1:24" x14ac:dyDescent="0.3">
      <c r="A3" s="1" t="s">
        <v>2</v>
      </c>
      <c r="B3" s="10">
        <v>6.9168750363166097E-4</v>
      </c>
      <c r="C3" s="10">
        <f>VARP('Dados - Histórico retorno'!$C$2:$C$49)</f>
        <v>4.6490678698093806E-3</v>
      </c>
      <c r="D3" s="10">
        <f>C4</f>
        <v>4.7849204976261342E-4</v>
      </c>
      <c r="E3" s="10">
        <f>C5</f>
        <v>2.4837379636125276E-3</v>
      </c>
      <c r="F3" s="10">
        <f>C6</f>
        <v>3.6512041985544211E-4</v>
      </c>
      <c r="G3" s="10">
        <f>C7</f>
        <v>4.3380766643636597E-4</v>
      </c>
      <c r="H3" s="10">
        <f>C8</f>
        <v>7.9222565733064025E-4</v>
      </c>
      <c r="I3" s="10">
        <f>C9</f>
        <v>1.936311354698132E-4</v>
      </c>
      <c r="J3" s="10">
        <f>C10</f>
        <v>1.262228008255386E-3</v>
      </c>
      <c r="K3" s="10">
        <f>C11</f>
        <v>9.5871379198554391E-4</v>
      </c>
      <c r="L3" s="10">
        <f>C12</f>
        <v>1.6084054698129258E-3</v>
      </c>
      <c r="M3" s="10">
        <f>C13</f>
        <v>2.4356490927047894E-3</v>
      </c>
      <c r="N3" s="10">
        <f>C14</f>
        <v>-1.461100924744899E-6</v>
      </c>
      <c r="O3" s="10">
        <f>C15</f>
        <v>6.3990684625673195E-3</v>
      </c>
      <c r="P3" s="10">
        <f>C16</f>
        <v>-7.1707538442460292E-5</v>
      </c>
      <c r="Q3" s="10">
        <f>C17</f>
        <v>-7.3494450644841271E-6</v>
      </c>
      <c r="R3" s="10">
        <f>C18</f>
        <v>6.9509470486111118E-5</v>
      </c>
      <c r="S3" s="10">
        <f>C19</f>
        <v>2.1117527901785732E-5</v>
      </c>
      <c r="T3" s="10">
        <f>C20</f>
        <v>1.2255403025793645E-5</v>
      </c>
      <c r="U3" s="10">
        <f>C21</f>
        <v>6.2268370927984285E-5</v>
      </c>
      <c r="V3" s="10">
        <f>C22</f>
        <v>9.1888609871031858E-6</v>
      </c>
      <c r="W3" s="10">
        <f>C23</f>
        <v>1.6016826636904775E-5</v>
      </c>
      <c r="X3" s="10">
        <f>C24</f>
        <v>5.339432998452369E-4</v>
      </c>
    </row>
    <row r="4" spans="1:24" x14ac:dyDescent="0.3">
      <c r="A4" s="1" t="s">
        <v>3</v>
      </c>
      <c r="B4" s="10">
        <v>-1.0220322205392576E-3</v>
      </c>
      <c r="C4" s="10">
        <v>4.7849204976261342E-4</v>
      </c>
      <c r="D4" s="10">
        <f>VARP('Dados - Histórico retorno'!$D$2:$D$49)</f>
        <v>6.272373590472646E-3</v>
      </c>
      <c r="E4" s="10">
        <f>D5</f>
        <v>3.180303605087869E-4</v>
      </c>
      <c r="F4" s="10">
        <f>D6</f>
        <v>8.2596031143707463E-4</v>
      </c>
      <c r="G4" s="10">
        <f>D7</f>
        <v>1.3252014996102614E-4</v>
      </c>
      <c r="H4" s="10">
        <f>D8</f>
        <v>1.7416433239441612E-4</v>
      </c>
      <c r="I4" s="10">
        <f>D9</f>
        <v>1.5569393574617297E-4</v>
      </c>
      <c r="J4" s="10">
        <f>D10</f>
        <v>-9.6142987705498853E-5</v>
      </c>
      <c r="K4" s="10">
        <f>D11</f>
        <v>3.6053205197704099E-4</v>
      </c>
      <c r="L4" s="10">
        <f>D12</f>
        <v>-1.246799670493197E-3</v>
      </c>
      <c r="M4" s="10">
        <f>D13</f>
        <v>-3.6501903495252266E-4</v>
      </c>
      <c r="N4" s="10">
        <f>D14</f>
        <v>-3.0608049000850349E-6</v>
      </c>
      <c r="O4" s="10">
        <f>D15</f>
        <v>2.2503679430626404E-4</v>
      </c>
      <c r="P4" s="10">
        <f>D16</f>
        <v>-8.8354327876984004E-6</v>
      </c>
      <c r="Q4" s="10">
        <f>D17</f>
        <v>-1.7384649677579361E-5</v>
      </c>
      <c r="R4" s="10">
        <f>D18</f>
        <v>4.9711892361111234E-6</v>
      </c>
      <c r="S4" s="10">
        <f>D19</f>
        <v>3.4408610491071432E-5</v>
      </c>
      <c r="T4" s="10">
        <f>D20</f>
        <v>2.0738818204365087E-5</v>
      </c>
      <c r="U4" s="10">
        <f>D21</f>
        <v>-1.2067964333798981E-5</v>
      </c>
      <c r="V4" s="10">
        <f>D22</f>
        <v>2.0345695064484127E-5</v>
      </c>
      <c r="W4" s="10">
        <f>D23</f>
        <v>-4.7461841517857139E-5</v>
      </c>
      <c r="X4" s="10">
        <f>D24</f>
        <v>2.0552061697180453E-4</v>
      </c>
    </row>
    <row r="5" spans="1:24" x14ac:dyDescent="0.3">
      <c r="A5" s="1" t="s">
        <v>4</v>
      </c>
      <c r="B5" s="10">
        <v>2.7038549884849761E-3</v>
      </c>
      <c r="C5" s="10">
        <v>2.4837379636125276E-3</v>
      </c>
      <c r="D5" s="10">
        <v>3.180303605087869E-4</v>
      </c>
      <c r="E5" s="10">
        <f>VARP('Dados - Histórico retorno'!$E$2:$E$49)</f>
        <v>4.9488143023667802E-3</v>
      </c>
      <c r="F5" s="10">
        <f>E6</f>
        <v>2.1688615858843547E-4</v>
      </c>
      <c r="G5" s="10">
        <f>E7</f>
        <v>-2.3538659987953466E-4</v>
      </c>
      <c r="H5" s="10">
        <f>E8</f>
        <v>-5.7330520921910425E-4</v>
      </c>
      <c r="I5" s="10">
        <f>E9</f>
        <v>1.0433155054209188E-3</v>
      </c>
      <c r="J5" s="10">
        <f>E10</f>
        <v>1.3355296892715431E-3</v>
      </c>
      <c r="K5" s="10">
        <f>E11</f>
        <v>4.4177407419217674E-4</v>
      </c>
      <c r="L5" s="10">
        <f>E12</f>
        <v>-5.2479124149654893E-6</v>
      </c>
      <c r="M5" s="10">
        <f>E13</f>
        <v>1.3366679072774942E-3</v>
      </c>
      <c r="N5" s="10">
        <f>E14</f>
        <v>2.236559842687076E-6</v>
      </c>
      <c r="O5" s="10">
        <f>E15</f>
        <v>5.0194679388109427E-3</v>
      </c>
      <c r="P5" s="10">
        <f>E16</f>
        <v>-5.1932393353174614E-5</v>
      </c>
      <c r="Q5" s="10">
        <f>E17</f>
        <v>-1.9702597966269828E-5</v>
      </c>
      <c r="R5" s="10">
        <f>E18</f>
        <v>3.3078350694444429E-5</v>
      </c>
      <c r="S5" s="10">
        <f>E19</f>
        <v>-1.7467258184523817E-5</v>
      </c>
      <c r="T5" s="10">
        <f>E20</f>
        <v>-9.4104414682539477E-7</v>
      </c>
      <c r="U5" s="10">
        <f>E21</f>
        <v>5.3838829694080016E-5</v>
      </c>
      <c r="V5" s="10">
        <f>E22</f>
        <v>-1.6621862599206276E-6</v>
      </c>
      <c r="W5" s="10">
        <f>E23</f>
        <v>-2.9437224702380956E-5</v>
      </c>
      <c r="X5" s="10">
        <f>E24</f>
        <v>3.5274196606333149E-4</v>
      </c>
    </row>
    <row r="6" spans="1:24" x14ac:dyDescent="0.3">
      <c r="A6" s="1" t="s">
        <v>5</v>
      </c>
      <c r="B6" s="10">
        <v>6.8299471619897992E-4</v>
      </c>
      <c r="C6" s="10">
        <v>3.6512041985544211E-4</v>
      </c>
      <c r="D6" s="10">
        <v>8.2596031143707463E-4</v>
      </c>
      <c r="E6" s="10">
        <v>2.1688615858843547E-4</v>
      </c>
      <c r="F6" s="10">
        <f>VARP('Dados - Histórico retorno'!$F$2:$F$49)</f>
        <v>6.8483484906462569E-3</v>
      </c>
      <c r="G6" s="10">
        <f>F7</f>
        <v>6.3096042293792516E-3</v>
      </c>
      <c r="H6" s="10">
        <f>F8</f>
        <v>1.5274917570153059E-3</v>
      </c>
      <c r="I6" s="10">
        <f>F9</f>
        <v>3.1888917803996591E-3</v>
      </c>
      <c r="J6" s="10">
        <f>F10</f>
        <v>4.8784319026360552E-3</v>
      </c>
      <c r="K6" s="10">
        <f>F11</f>
        <v>2.0348756823979591E-3</v>
      </c>
      <c r="L6" s="10">
        <f>F12</f>
        <v>2.2349078996598648E-3</v>
      </c>
      <c r="M6" s="10">
        <f>F13</f>
        <v>2.7032794993622441E-3</v>
      </c>
      <c r="N6" s="10">
        <f>F14</f>
        <v>-1.8378539540816329E-6</v>
      </c>
      <c r="O6" s="10">
        <f>F15</f>
        <v>7.4946396162840134E-3</v>
      </c>
      <c r="P6" s="10">
        <f>F16</f>
        <v>-8.294441964285715E-5</v>
      </c>
      <c r="Q6" s="10">
        <f>F17</f>
        <v>7.6656867559523806E-5</v>
      </c>
      <c r="R6" s="10">
        <f>F18</f>
        <v>3.4336354166666654E-5</v>
      </c>
      <c r="S6" s="10">
        <f>F19</f>
        <v>1.2807834821428582E-5</v>
      </c>
      <c r="T6" s="10">
        <f>F20</f>
        <v>3.5595461309523811E-5</v>
      </c>
      <c r="U6" s="10">
        <f>F21</f>
        <v>1.0608321048955297E-4</v>
      </c>
      <c r="V6" s="10">
        <f>F22</f>
        <v>3.4059665178571438E-5</v>
      </c>
      <c r="W6" s="10">
        <f>F23</f>
        <v>4.6505044642857143E-5</v>
      </c>
      <c r="X6" s="10">
        <f>F24</f>
        <v>6.5999615021188507E-4</v>
      </c>
    </row>
    <row r="7" spans="1:24" x14ac:dyDescent="0.3">
      <c r="A7" s="1" t="s">
        <v>6</v>
      </c>
      <c r="B7" s="10">
        <v>9.8593081216340694E-4</v>
      </c>
      <c r="C7" s="10">
        <v>4.3380766643636597E-4</v>
      </c>
      <c r="D7" s="10">
        <v>1.3252014996102614E-4</v>
      </c>
      <c r="E7" s="10">
        <v>-2.3538659987953466E-4</v>
      </c>
      <c r="F7" s="10">
        <v>6.3096042293792516E-3</v>
      </c>
      <c r="G7" s="10">
        <f>VARP('Dados - Histórico retorno'!$G$2:$G$49)</f>
        <v>2.1744313435285587E-2</v>
      </c>
      <c r="H7" s="10">
        <f>G8</f>
        <v>3.2785440849100057E-3</v>
      </c>
      <c r="I7" s="10">
        <f>G9</f>
        <v>1.04590913586841E-2</v>
      </c>
      <c r="J7" s="10">
        <f>G10</f>
        <v>9.3033069864299888E-3</v>
      </c>
      <c r="K7" s="10">
        <f>G11</f>
        <v>4.9085851312712595E-3</v>
      </c>
      <c r="L7" s="10">
        <f>G12</f>
        <v>9.9458845174319743E-3</v>
      </c>
      <c r="M7" s="10">
        <f>G13</f>
        <v>1.0557117133379394E-2</v>
      </c>
      <c r="N7" s="10">
        <f>G14</f>
        <v>-7.3547765199829906E-6</v>
      </c>
      <c r="O7" s="10">
        <f>G15</f>
        <v>1.6823294023083191E-2</v>
      </c>
      <c r="P7" s="10">
        <f>G16</f>
        <v>7.8823226686507877E-6</v>
      </c>
      <c r="Q7" s="10">
        <f>G17</f>
        <v>2.1778531187996032E-4</v>
      </c>
      <c r="R7" s="10">
        <f>G18</f>
        <v>1.8836206597222207E-5</v>
      </c>
      <c r="S7" s="10">
        <f>G19</f>
        <v>-3.9836534598214265E-5</v>
      </c>
      <c r="T7" s="10">
        <f>G20</f>
        <v>2.3834500248015879E-5</v>
      </c>
      <c r="U7" s="10">
        <f>G21</f>
        <v>1.3690118909691858E-4</v>
      </c>
      <c r="V7" s="10">
        <f>G22</f>
        <v>2.3075979042658744E-5</v>
      </c>
      <c r="W7" s="10">
        <f>G23</f>
        <v>1.0095078497023816E-4</v>
      </c>
      <c r="X7" s="10">
        <f>G24</f>
        <v>1.5742881172796975E-3</v>
      </c>
    </row>
    <row r="8" spans="1:24" x14ac:dyDescent="0.3">
      <c r="A8" s="1" t="s">
        <v>25</v>
      </c>
      <c r="B8" s="10">
        <v>6.4654545590632072E-4</v>
      </c>
      <c r="C8" s="10">
        <v>7.9222565733064025E-4</v>
      </c>
      <c r="D8" s="10">
        <v>1.7416433239441612E-4</v>
      </c>
      <c r="E8" s="10">
        <v>-5.7330520921910425E-4</v>
      </c>
      <c r="F8" s="10">
        <v>1.5274917570153059E-3</v>
      </c>
      <c r="G8" s="10">
        <v>3.2785440849100057E-3</v>
      </c>
      <c r="H8" s="10">
        <f>VARP('Dados - Histórico retorno'!$H$2:$H$49)</f>
        <v>4.6285523107107412E-3</v>
      </c>
      <c r="I8" s="10">
        <f>H9</f>
        <v>1.2285193417835882E-3</v>
      </c>
      <c r="J8" s="10">
        <f>H10</f>
        <v>2.661808555661848E-3</v>
      </c>
      <c r="K8" s="10">
        <f>H11</f>
        <v>1.8795040715348635E-3</v>
      </c>
      <c r="L8" s="10">
        <f>H12</f>
        <v>2.191268450255102E-3</v>
      </c>
      <c r="M8" s="10">
        <f>H13</f>
        <v>2.0914083268672055E-3</v>
      </c>
      <c r="N8" s="10">
        <f>H14</f>
        <v>-1.540619951105442E-6</v>
      </c>
      <c r="O8" s="10">
        <f>H15</f>
        <v>6.4605183780647654E-3</v>
      </c>
      <c r="P8" s="10">
        <f>H16</f>
        <v>-7.5495522073412707E-5</v>
      </c>
      <c r="Q8" s="10">
        <f>H17</f>
        <v>-1.4470706225198439E-5</v>
      </c>
      <c r="R8" s="10">
        <f>H18</f>
        <v>-6.1836024305555529E-6</v>
      </c>
      <c r="S8" s="10">
        <f>H19</f>
        <v>2.2348238467261935E-5</v>
      </c>
      <c r="T8" s="10">
        <f>H20</f>
        <v>1.1982824900793677E-6</v>
      </c>
      <c r="U8" s="10">
        <f>H21</f>
        <v>-3.5367933660815526E-5</v>
      </c>
      <c r="V8" s="10">
        <f>H22</f>
        <v>-2.1351624503968586E-7</v>
      </c>
      <c r="W8" s="10">
        <f>H23</f>
        <v>-2.2370085565476201E-5</v>
      </c>
      <c r="X8" s="10">
        <f>H24</f>
        <v>8.0786379845410267E-4</v>
      </c>
    </row>
    <row r="9" spans="1:24" x14ac:dyDescent="0.3">
      <c r="A9" s="1" t="s">
        <v>26</v>
      </c>
      <c r="B9" s="10">
        <v>8.006510265199826E-4</v>
      </c>
      <c r="C9" s="10">
        <v>1.936311354698132E-4</v>
      </c>
      <c r="D9" s="10">
        <v>1.5569393574617297E-4</v>
      </c>
      <c r="E9" s="10">
        <v>1.0433155054209188E-3</v>
      </c>
      <c r="F9" s="10">
        <v>3.1888917803996591E-3</v>
      </c>
      <c r="G9" s="10">
        <v>1.04590913586841E-2</v>
      </c>
      <c r="H9" s="10">
        <v>1.2285193417835882E-3</v>
      </c>
      <c r="I9" s="10">
        <f>VARP('Dados - Histórico retorno'!$I$2:$I$49)</f>
        <v>1.622365666161777E-2</v>
      </c>
      <c r="J9" s="10">
        <f>I10</f>
        <v>5.2720020976828206E-3</v>
      </c>
      <c r="K9" s="10">
        <f>I11</f>
        <v>2.6467729905399651E-3</v>
      </c>
      <c r="L9" s="10">
        <f>I12</f>
        <v>6.6780622427721108E-3</v>
      </c>
      <c r="M9" s="10">
        <f>I13</f>
        <v>6.66339610623937E-3</v>
      </c>
      <c r="N9" s="10">
        <f>I14</f>
        <v>-4.1210892325680281E-6</v>
      </c>
      <c r="O9" s="10">
        <f>I15</f>
        <v>1.0973610517910293E-2</v>
      </c>
      <c r="P9" s="10">
        <f>I16</f>
        <v>-1.8721938244047643E-5</v>
      </c>
      <c r="Q9" s="10">
        <f>I17</f>
        <v>1.3818726376488091E-4</v>
      </c>
      <c r="R9" s="10">
        <f>I18</f>
        <v>1.1997005208333296E-5</v>
      </c>
      <c r="S9" s="10">
        <f>I19</f>
        <v>-5.6978536086309542E-5</v>
      </c>
      <c r="T9" s="10">
        <f>I20</f>
        <v>1.3356469494047616E-5</v>
      </c>
      <c r="U9" s="10">
        <f>I21</f>
        <v>1.0427078614704811E-4</v>
      </c>
      <c r="V9" s="10">
        <f>I22</f>
        <v>9.649786086309561E-6</v>
      </c>
      <c r="W9" s="10">
        <f>I23</f>
        <v>8.8230323660714292E-5</v>
      </c>
      <c r="X9" s="10">
        <f>I24</f>
        <v>7.8836150915362259E-4</v>
      </c>
    </row>
    <row r="10" spans="1:24" x14ac:dyDescent="0.3">
      <c r="A10" s="1" t="s">
        <v>27</v>
      </c>
      <c r="B10" s="10">
        <v>2.5212180986040251E-3</v>
      </c>
      <c r="C10" s="10">
        <v>1.262228008255386E-3</v>
      </c>
      <c r="D10" s="10">
        <v>-9.6142987705498853E-5</v>
      </c>
      <c r="E10" s="10">
        <v>1.3355296892715431E-3</v>
      </c>
      <c r="F10" s="10">
        <v>4.8784319026360552E-3</v>
      </c>
      <c r="G10" s="10">
        <v>9.3033069864299888E-3</v>
      </c>
      <c r="H10" s="10">
        <v>2.661808555661848E-3</v>
      </c>
      <c r="I10" s="10">
        <v>5.2720020976828206E-3</v>
      </c>
      <c r="J10" s="10">
        <f>VARP('Dados - Histórico retorno'!$J$2:$J$49)</f>
        <v>8.8038925761763052E-3</v>
      </c>
      <c r="K10" s="10">
        <f>J11</f>
        <v>2.9210923777636057E-3</v>
      </c>
      <c r="L10" s="10">
        <f>J12</f>
        <v>8.7181858078231294E-3</v>
      </c>
      <c r="M10" s="10">
        <f>J13</f>
        <v>9.1356854816822559E-3</v>
      </c>
      <c r="N10" s="10">
        <f>J14</f>
        <v>-4.1706871811224502E-6</v>
      </c>
      <c r="O10" s="10">
        <f>J15</f>
        <v>1.7736280691787131E-2</v>
      </c>
      <c r="P10" s="10">
        <f>J16</f>
        <v>-1.0288468501984127E-4</v>
      </c>
      <c r="Q10" s="10">
        <f>J17</f>
        <v>1.0365021453373009E-4</v>
      </c>
      <c r="R10" s="10">
        <f>J18</f>
        <v>1.9206892361111096E-5</v>
      </c>
      <c r="S10" s="10">
        <f>J19</f>
        <v>-9.9852790178571316E-6</v>
      </c>
      <c r="T10" s="10">
        <f>J20</f>
        <v>1.6735205853174613E-5</v>
      </c>
      <c r="U10" s="10">
        <f>J21</f>
        <v>1.1772585988115483E-4</v>
      </c>
      <c r="V10" s="10">
        <f>J22</f>
        <v>1.6205001240079374E-5</v>
      </c>
      <c r="W10" s="10">
        <f>J23</f>
        <v>4.7717775297619043E-5</v>
      </c>
      <c r="X10" s="10">
        <f>J24</f>
        <v>1.0683688877882972E-3</v>
      </c>
    </row>
    <row r="11" spans="1:24" x14ac:dyDescent="0.3">
      <c r="A11" s="1" t="s">
        <v>28</v>
      </c>
      <c r="B11" s="10">
        <v>8.0738167995323155E-4</v>
      </c>
      <c r="C11" s="10">
        <v>9.5871379198554391E-4</v>
      </c>
      <c r="D11" s="10">
        <v>3.6053205197704099E-4</v>
      </c>
      <c r="E11" s="10">
        <v>4.4177407419217674E-4</v>
      </c>
      <c r="F11" s="10">
        <v>2.0348756823979591E-3</v>
      </c>
      <c r="G11" s="10">
        <v>4.9085851312712595E-3</v>
      </c>
      <c r="H11" s="10">
        <v>1.8795040715348635E-3</v>
      </c>
      <c r="I11" s="10">
        <v>2.6467729905399651E-3</v>
      </c>
      <c r="J11" s="10">
        <v>2.9210923777636057E-3</v>
      </c>
      <c r="K11" s="10">
        <f>VARP('Dados - Histórico retorno'!$K$2:$K$49)</f>
        <v>2.009547318239796E-3</v>
      </c>
      <c r="L11" s="10">
        <f>K12</f>
        <v>3.2113794982993188E-3</v>
      </c>
      <c r="M11" s="10">
        <f>K13</f>
        <v>3.6322473666028925E-3</v>
      </c>
      <c r="N11" s="10">
        <f>K14</f>
        <v>-1.7516395620748301E-6</v>
      </c>
      <c r="O11" s="10">
        <f>K15</f>
        <v>6.5465821699617344E-3</v>
      </c>
      <c r="P11" s="10">
        <f>K16</f>
        <v>-2.9317462797619052E-5</v>
      </c>
      <c r="Q11" s="10">
        <f>K17</f>
        <v>4.1997436755952373E-5</v>
      </c>
      <c r="R11" s="10">
        <f>K18</f>
        <v>1.5368281249999997E-5</v>
      </c>
      <c r="S11" s="10">
        <f>K19</f>
        <v>1.1368043154762004E-6</v>
      </c>
      <c r="T11" s="10">
        <f>K20</f>
        <v>4.9398586309523835E-6</v>
      </c>
      <c r="U11" s="10">
        <f>K21</f>
        <v>3.2849821048955302E-5</v>
      </c>
      <c r="V11" s="10">
        <f>K22</f>
        <v>3.8154873511904813E-6</v>
      </c>
      <c r="W11" s="10">
        <f>K23</f>
        <v>1.6534858630952388E-5</v>
      </c>
      <c r="X11" s="10">
        <f>K24</f>
        <v>7.5928540308703191E-4</v>
      </c>
    </row>
    <row r="12" spans="1:24" x14ac:dyDescent="0.3">
      <c r="A12" s="1" t="s">
        <v>29</v>
      </c>
      <c r="B12" s="10">
        <v>-5.0851056335034033E-4</v>
      </c>
      <c r="C12" s="10">
        <v>1.6084054698129258E-3</v>
      </c>
      <c r="D12" s="10">
        <v>-1.246799670493197E-3</v>
      </c>
      <c r="E12" s="10">
        <v>-5.2479124149654893E-6</v>
      </c>
      <c r="F12" s="10">
        <v>2.2349078996598648E-3</v>
      </c>
      <c r="G12" s="10">
        <v>9.9458845174319743E-3</v>
      </c>
      <c r="H12" s="10">
        <v>2.191268450255102E-3</v>
      </c>
      <c r="I12" s="10">
        <v>6.6780622427721108E-3</v>
      </c>
      <c r="J12" s="10">
        <v>8.7181858078231294E-3</v>
      </c>
      <c r="K12" s="10">
        <v>3.2113794982993188E-3</v>
      </c>
      <c r="L12" s="10">
        <f>VARP('Dados - Histórico retorno'!$L$2:$L$49)</f>
        <v>2.3916438605442163E-2</v>
      </c>
      <c r="M12" s="10">
        <f>L13</f>
        <v>2.3232777906037404E-2</v>
      </c>
      <c r="N12" s="10">
        <f>L14</f>
        <v>-2.8611075680272121E-6</v>
      </c>
      <c r="O12" s="10">
        <f>L15</f>
        <v>4.0508297701955777E-2</v>
      </c>
      <c r="P12" s="10">
        <f>L16</f>
        <v>-2.1594940476190446E-6</v>
      </c>
      <c r="Q12" s="10">
        <f>L17</f>
        <v>1.4687723214285671E-5</v>
      </c>
      <c r="R12" s="10">
        <f>L18</f>
        <v>-1.0853541666666674E-5</v>
      </c>
      <c r="S12" s="10">
        <f>L19</f>
        <v>-7.5106919642857169E-5</v>
      </c>
      <c r="T12" s="10">
        <f>L20</f>
        <v>-3.0350922619047603E-5</v>
      </c>
      <c r="U12" s="10">
        <f>L21</f>
        <v>-4.2149537475704553E-5</v>
      </c>
      <c r="V12" s="10">
        <f>L22</f>
        <v>-3.0592663690476168E-5</v>
      </c>
      <c r="W12" s="10">
        <f>L23</f>
        <v>-2.5340505952380942E-5</v>
      </c>
      <c r="X12" s="10">
        <f>L24</f>
        <v>1.2628864890138151E-3</v>
      </c>
    </row>
    <row r="13" spans="1:24" x14ac:dyDescent="0.3">
      <c r="A13" s="1" t="s">
        <v>30</v>
      </c>
      <c r="B13" s="10">
        <v>-3.3189459059665278E-5</v>
      </c>
      <c r="C13" s="10">
        <v>2.4356490927047894E-3</v>
      </c>
      <c r="D13" s="10">
        <v>-3.6501903495252266E-4</v>
      </c>
      <c r="E13" s="10">
        <v>1.3366679072774942E-3</v>
      </c>
      <c r="F13" s="10">
        <v>2.7032794993622441E-3</v>
      </c>
      <c r="G13" s="10">
        <v>1.0557117133379394E-2</v>
      </c>
      <c r="H13" s="10">
        <v>2.0914083268672055E-3</v>
      </c>
      <c r="I13" s="10">
        <v>6.66339610623937E-3</v>
      </c>
      <c r="J13" s="10">
        <v>9.1356854816822559E-3</v>
      </c>
      <c r="K13" s="10">
        <v>3.6322473666028925E-3</v>
      </c>
      <c r="L13" s="10">
        <v>2.3232777906037404E-2</v>
      </c>
      <c r="M13" s="10">
        <f>VARP('Dados - Histórico retorno'!$M$2:$M$49)</f>
        <v>2.4234281264792379E-2</v>
      </c>
      <c r="N13" s="10">
        <f>M14</f>
        <v>-1.9821548150510197E-6</v>
      </c>
      <c r="O13" s="10">
        <f>M15</f>
        <v>4.1515467557486536E-2</v>
      </c>
      <c r="P13" s="10">
        <f>M16</f>
        <v>1.676382688492051E-6</v>
      </c>
      <c r="Q13" s="10">
        <f>M17</f>
        <v>2.8215930679563455E-5</v>
      </c>
      <c r="R13" s="10">
        <f>M18</f>
        <v>1.6803559027777782E-6</v>
      </c>
      <c r="S13" s="10">
        <f>M19</f>
        <v>-7.4719380580357147E-5</v>
      </c>
      <c r="T13" s="10">
        <f>M20</f>
        <v>-2.5903830605158711E-5</v>
      </c>
      <c r="U13" s="10">
        <f>M21</f>
        <v>-1.3656418233215927E-5</v>
      </c>
      <c r="V13" s="10">
        <f>M22</f>
        <v>-2.4485063864087281E-5</v>
      </c>
      <c r="W13" s="10">
        <f>M23</f>
        <v>-2.9162406994047628E-5</v>
      </c>
      <c r="X13" s="10">
        <f>M24</f>
        <v>1.4045395727127084E-3</v>
      </c>
    </row>
    <row r="14" spans="1:24" x14ac:dyDescent="0.3">
      <c r="A14" s="1" t="s">
        <v>31</v>
      </c>
      <c r="B14" s="10">
        <v>2.1946489689625855E-6</v>
      </c>
      <c r="C14" s="10">
        <v>-1.461100924744899E-6</v>
      </c>
      <c r="D14" s="10">
        <v>-3.0608049000850349E-6</v>
      </c>
      <c r="E14" s="10">
        <v>2.236559842687076E-6</v>
      </c>
      <c r="F14" s="10">
        <v>-1.8378539540816329E-6</v>
      </c>
      <c r="G14" s="10">
        <v>-7.3547765199829906E-6</v>
      </c>
      <c r="H14" s="10">
        <v>-1.540619951105442E-6</v>
      </c>
      <c r="I14" s="10">
        <v>-4.1210892325680281E-6</v>
      </c>
      <c r="J14" s="10">
        <v>-4.1706871811224502E-6</v>
      </c>
      <c r="K14" s="10">
        <v>-1.7516395620748301E-6</v>
      </c>
      <c r="L14" s="10">
        <v>-2.8611075680272121E-6</v>
      </c>
      <c r="M14" s="10">
        <v>-1.9821548150510197E-6</v>
      </c>
      <c r="N14" s="10">
        <f>VARP('Dados - Histórico retorno'!$N$2:$N$49)</f>
        <v>4.0275563350340112E-8</v>
      </c>
      <c r="O14" s="10">
        <f>N15</f>
        <v>-1.8246053890306139E-6</v>
      </c>
      <c r="P14" s="10">
        <f>N16</f>
        <v>-6.4587053571428545E-8</v>
      </c>
      <c r="Q14" s="10">
        <f>N17</f>
        <v>-2.7795758928571371E-8</v>
      </c>
      <c r="R14" s="10">
        <f>N18</f>
        <v>3.6588541666666632E-8</v>
      </c>
      <c r="S14" s="10">
        <f>N19</f>
        <v>8.9341517857142727E-9</v>
      </c>
      <c r="T14" s="10">
        <f>N20</f>
        <v>-4.921502976190476E-8</v>
      </c>
      <c r="U14" s="10">
        <f>N21</f>
        <v>6.9480267553449991E-8</v>
      </c>
      <c r="V14" s="10">
        <f>N22</f>
        <v>-4.0184151785714303E-8</v>
      </c>
      <c r="W14" s="10">
        <f>N23</f>
        <v>-4.4735863095238105E-8</v>
      </c>
      <c r="X14" s="10">
        <f>N24</f>
        <v>-1.6709150611976615E-7</v>
      </c>
    </row>
    <row r="15" spans="1:24" x14ac:dyDescent="0.3">
      <c r="A15" s="1" t="s">
        <v>32</v>
      </c>
      <c r="B15" s="10">
        <v>-8.2113921015802003E-4</v>
      </c>
      <c r="C15" s="10">
        <v>6.3990684625673195E-3</v>
      </c>
      <c r="D15" s="10">
        <v>2.2503679430626404E-4</v>
      </c>
      <c r="E15" s="10">
        <v>5.0194679388109427E-3</v>
      </c>
      <c r="F15" s="10">
        <v>7.4946396162840134E-3</v>
      </c>
      <c r="G15" s="10">
        <v>1.6823294023083191E-2</v>
      </c>
      <c r="H15" s="10">
        <v>6.4605183780647654E-3</v>
      </c>
      <c r="I15" s="10">
        <v>1.0973610517910293E-2</v>
      </c>
      <c r="J15" s="10">
        <v>1.7736280691787131E-2</v>
      </c>
      <c r="K15" s="10">
        <v>6.5465821699617344E-3</v>
      </c>
      <c r="L15" s="10">
        <v>4.0508297701955777E-2</v>
      </c>
      <c r="M15" s="10">
        <v>4.1515467557486536E-2</v>
      </c>
      <c r="N15" s="10">
        <v>-1.8246053890306139E-6</v>
      </c>
      <c r="O15" s="10">
        <f>VARP('Dados - Histórico retorno'!$O$2:$O$49)</f>
        <v>0.12097168440254749</v>
      </c>
      <c r="P15" s="10">
        <f>O16</f>
        <v>-9.7111948164682564E-5</v>
      </c>
      <c r="Q15" s="10">
        <f>O17</f>
        <v>-1.3158265687003971E-4</v>
      </c>
      <c r="R15" s="10">
        <f>O18</f>
        <v>7.2181102430555525E-5</v>
      </c>
      <c r="S15" s="10">
        <f>O19</f>
        <v>-1.428085658482142E-4</v>
      </c>
      <c r="T15" s="10">
        <f>O20</f>
        <v>-4.1195812251984098E-5</v>
      </c>
      <c r="U15" s="10">
        <f>O21</f>
        <v>-9.5626643598659741E-5</v>
      </c>
      <c r="V15" s="10">
        <f>O22</f>
        <v>-4.5555739707341217E-5</v>
      </c>
      <c r="W15" s="10">
        <f>O23</f>
        <v>-3.3828661086309511E-4</v>
      </c>
      <c r="X15" s="10">
        <f>O24</f>
        <v>2.8773503437171696E-3</v>
      </c>
    </row>
    <row r="16" spans="1:24" x14ac:dyDescent="0.3">
      <c r="A16" s="1" t="s">
        <v>33</v>
      </c>
      <c r="B16" s="10">
        <v>-1.1979282862103177E-4</v>
      </c>
      <c r="C16" s="10">
        <v>-7.1707538442460292E-5</v>
      </c>
      <c r="D16" s="10">
        <v>-8.8354327876984004E-6</v>
      </c>
      <c r="E16" s="10">
        <v>-5.1932393353174614E-5</v>
      </c>
      <c r="F16" s="10">
        <v>-8.294441964285715E-5</v>
      </c>
      <c r="G16" s="10">
        <v>7.8823226686507877E-6</v>
      </c>
      <c r="H16" s="10">
        <v>-7.5495522073412707E-5</v>
      </c>
      <c r="I16" s="10">
        <v>-1.8721938244047643E-5</v>
      </c>
      <c r="J16" s="10">
        <v>-1.0288468501984127E-4</v>
      </c>
      <c r="K16" s="10">
        <v>-2.9317462797619052E-5</v>
      </c>
      <c r="L16" s="10">
        <v>-2.1594940476190446E-6</v>
      </c>
      <c r="M16" s="10">
        <v>1.676382688492051E-6</v>
      </c>
      <c r="N16" s="10">
        <v>-6.4587053571428545E-8</v>
      </c>
      <c r="O16" s="10">
        <v>-9.7111948164682564E-5</v>
      </c>
      <c r="P16" s="10">
        <f>VARP('Dados - Histórico retorno'!$P$2:$P$49)</f>
        <v>1.5396232638888872E-5</v>
      </c>
      <c r="Q16" s="10">
        <f>P17</f>
        <v>-4.0551996527777776E-6</v>
      </c>
      <c r="R16" s="10">
        <f>P18</f>
        <v>-6.6085069444444461E-7</v>
      </c>
      <c r="S16" s="10">
        <f>P19</f>
        <v>-2.9099739583333332E-6</v>
      </c>
      <c r="T16" s="10">
        <f>P20</f>
        <v>-2.145295138888889E-6</v>
      </c>
      <c r="U16" s="10">
        <f>P21</f>
        <v>-4.8775997378117946E-6</v>
      </c>
      <c r="V16" s="10">
        <f>P22</f>
        <v>-1.9937065972222222E-6</v>
      </c>
      <c r="W16" s="10">
        <f>P23</f>
        <v>-2.0949479166666685E-6</v>
      </c>
      <c r="X16" s="10">
        <f>P24</f>
        <v>-1.9151047322721385E-5</v>
      </c>
    </row>
    <row r="17" spans="1:24" x14ac:dyDescent="0.3">
      <c r="A17" s="1" t="s">
        <v>34</v>
      </c>
      <c r="B17" s="10">
        <v>1.1784561073908732E-4</v>
      </c>
      <c r="C17" s="10">
        <v>-7.3494450644841271E-6</v>
      </c>
      <c r="D17" s="10">
        <v>-1.7384649677579361E-5</v>
      </c>
      <c r="E17" s="10">
        <v>-1.9702597966269828E-5</v>
      </c>
      <c r="F17" s="10">
        <v>7.6656867559523806E-5</v>
      </c>
      <c r="G17" s="10">
        <v>2.1778531187996032E-4</v>
      </c>
      <c r="H17" s="10">
        <v>-1.4470706225198439E-5</v>
      </c>
      <c r="I17" s="10">
        <v>1.3818726376488091E-4</v>
      </c>
      <c r="J17" s="10">
        <v>1.0365021453373009E-4</v>
      </c>
      <c r="K17" s="10">
        <v>4.1997436755952373E-5</v>
      </c>
      <c r="L17" s="10">
        <v>1.4687723214285671E-5</v>
      </c>
      <c r="M17" s="10">
        <v>2.8215930679563455E-5</v>
      </c>
      <c r="N17" s="10">
        <v>-2.7795758928571371E-8</v>
      </c>
      <c r="O17" s="10">
        <v>-1.3158265687003971E-4</v>
      </c>
      <c r="P17" s="10">
        <v>-4.0551996527777776E-6</v>
      </c>
      <c r="Q17" s="10">
        <f>VARP('Dados - Histórico retorno'!$Q$2:$Q$49)</f>
        <v>5.3816870659722251E-5</v>
      </c>
      <c r="R17" s="10">
        <f>Q18</f>
        <v>9.5094618055555704E-7</v>
      </c>
      <c r="S17" s="10">
        <f>Q19</f>
        <v>8.3062369791666654E-6</v>
      </c>
      <c r="T17" s="10">
        <f>Q20</f>
        <v>1.8835850694444443E-6</v>
      </c>
      <c r="U17" s="10">
        <f>Q21</f>
        <v>4.1870915089994324E-5</v>
      </c>
      <c r="V17" s="10">
        <f>Q22</f>
        <v>1.7992491319444433E-6</v>
      </c>
      <c r="W17" s="10">
        <f>Q23</f>
        <v>4.0502786458333319E-5</v>
      </c>
      <c r="X17" s="10">
        <f>Q24</f>
        <v>8.8705599553707454E-6</v>
      </c>
    </row>
    <row r="18" spans="1:24" x14ac:dyDescent="0.3">
      <c r="A18" s="1" t="s">
        <v>35</v>
      </c>
      <c r="B18" s="10">
        <v>1.7254340277777087E-7</v>
      </c>
      <c r="C18" s="10">
        <v>6.9509470486111118E-5</v>
      </c>
      <c r="D18" s="10">
        <v>4.9711892361111234E-6</v>
      </c>
      <c r="E18" s="10">
        <v>3.3078350694444429E-5</v>
      </c>
      <c r="F18" s="10">
        <v>3.4336354166666654E-5</v>
      </c>
      <c r="G18" s="10">
        <v>1.8836206597222207E-5</v>
      </c>
      <c r="H18" s="10">
        <v>-6.1836024305555529E-6</v>
      </c>
      <c r="I18" s="10">
        <v>1.1997005208333296E-5</v>
      </c>
      <c r="J18" s="10">
        <v>1.9206892361111096E-5</v>
      </c>
      <c r="K18" s="10">
        <v>1.5368281249999997E-5</v>
      </c>
      <c r="L18" s="10">
        <v>-1.0853541666666674E-5</v>
      </c>
      <c r="M18" s="10">
        <v>1.6803559027777782E-6</v>
      </c>
      <c r="N18" s="10">
        <v>3.6588541666666632E-8</v>
      </c>
      <c r="O18" s="10">
        <v>7.2181102430555525E-5</v>
      </c>
      <c r="P18" s="10">
        <v>-6.6085069444444461E-7</v>
      </c>
      <c r="Q18" s="10">
        <v>9.5094618055555704E-7</v>
      </c>
      <c r="R18" s="10">
        <f>VARP('Dados - Histórico retorno'!$R$2:$R$49)</f>
        <v>4.1683159722222219E-6</v>
      </c>
      <c r="S18" s="10">
        <f>R19</f>
        <v>1.6247135416666672E-6</v>
      </c>
      <c r="T18" s="10">
        <f>R20</f>
        <v>1.8394965277777776E-6</v>
      </c>
      <c r="U18" s="10">
        <f>R21</f>
        <v>3.5128955853174606E-6</v>
      </c>
      <c r="V18" s="10">
        <f>R22</f>
        <v>1.7588975694444443E-6</v>
      </c>
      <c r="W18" s="10">
        <f>R23</f>
        <v>1.1685937500000005E-6</v>
      </c>
      <c r="X18" s="10">
        <f>R24</f>
        <v>4.868484427392928E-6</v>
      </c>
    </row>
    <row r="19" spans="1:24" x14ac:dyDescent="0.3">
      <c r="A19" s="1" t="s">
        <v>36</v>
      </c>
      <c r="B19" s="10">
        <v>1.6494183407738112E-5</v>
      </c>
      <c r="C19" s="10">
        <v>2.1117527901785732E-5</v>
      </c>
      <c r="D19" s="10">
        <v>3.4408610491071432E-5</v>
      </c>
      <c r="E19" s="10">
        <v>-1.7467258184523817E-5</v>
      </c>
      <c r="F19" s="10">
        <v>1.2807834821428582E-5</v>
      </c>
      <c r="G19" s="10">
        <v>-3.9836534598214265E-5</v>
      </c>
      <c r="H19" s="10">
        <v>2.2348238467261935E-5</v>
      </c>
      <c r="I19" s="10">
        <v>-5.6978536086309542E-5</v>
      </c>
      <c r="J19" s="10">
        <v>-9.9852790178571316E-6</v>
      </c>
      <c r="K19" s="10">
        <v>1.1368043154762004E-6</v>
      </c>
      <c r="L19" s="10">
        <v>-7.5106919642857169E-5</v>
      </c>
      <c r="M19" s="10">
        <v>-7.4719380580357147E-5</v>
      </c>
      <c r="N19" s="10">
        <v>8.9341517857142727E-9</v>
      </c>
      <c r="O19" s="10">
        <v>-1.428085658482142E-4</v>
      </c>
      <c r="P19" s="10">
        <v>-2.9099739583333332E-6</v>
      </c>
      <c r="Q19" s="10">
        <v>8.3062369791666654E-6</v>
      </c>
      <c r="R19" s="10">
        <v>1.6247135416666672E-6</v>
      </c>
      <c r="S19" s="10">
        <f>VARP('Dados - Histórico retorno'!$S$2:$S$49)</f>
        <v>4.3843359375000018E-6</v>
      </c>
      <c r="T19" s="10">
        <f>S20</f>
        <v>1.6680468750000005E-6</v>
      </c>
      <c r="U19" s="10">
        <f>S21</f>
        <v>8.3522435693027196E-6</v>
      </c>
      <c r="V19" s="10">
        <f>S22</f>
        <v>1.5458723958333326E-6</v>
      </c>
      <c r="W19" s="10">
        <f>S23</f>
        <v>7.4454427083333348E-6</v>
      </c>
      <c r="X19" s="10">
        <f>S24</f>
        <v>-1.1032595486111049E-6</v>
      </c>
    </row>
    <row r="20" spans="1:24" x14ac:dyDescent="0.3">
      <c r="A20" s="1" t="s">
        <v>37</v>
      </c>
      <c r="B20" s="10">
        <v>4.5174640376984196E-6</v>
      </c>
      <c r="C20" s="10">
        <v>1.2255403025793645E-5</v>
      </c>
      <c r="D20" s="10">
        <v>2.0738818204365087E-5</v>
      </c>
      <c r="E20" s="10">
        <v>-9.4104414682539477E-7</v>
      </c>
      <c r="F20" s="10">
        <v>3.5595461309523811E-5</v>
      </c>
      <c r="G20" s="10">
        <v>2.3834500248015879E-5</v>
      </c>
      <c r="H20" s="10">
        <v>1.1982824900793677E-6</v>
      </c>
      <c r="I20" s="10">
        <v>1.3356469494047616E-5</v>
      </c>
      <c r="J20" s="10">
        <v>1.6735205853174613E-5</v>
      </c>
      <c r="K20" s="10">
        <v>4.9398586309523835E-6</v>
      </c>
      <c r="L20" s="10">
        <v>-3.0350922619047603E-5</v>
      </c>
      <c r="M20" s="10">
        <v>-2.5903830605158711E-5</v>
      </c>
      <c r="N20" s="10">
        <v>-4.921502976190476E-8</v>
      </c>
      <c r="O20" s="10">
        <v>-4.1195812251984098E-5</v>
      </c>
      <c r="P20" s="10">
        <v>-2.145295138888889E-6</v>
      </c>
      <c r="Q20" s="10">
        <v>1.8835850694444443E-6</v>
      </c>
      <c r="R20" s="10">
        <v>1.8394965277777776E-6</v>
      </c>
      <c r="S20" s="10">
        <v>1.6680468750000005E-6</v>
      </c>
      <c r="T20" s="10">
        <f>VARP('Dados - Histórico retorno'!$T$2:$T$49)</f>
        <v>2.0124826388888888E-6</v>
      </c>
      <c r="U20" s="10">
        <f>T21</f>
        <v>2.4014315830498867E-6</v>
      </c>
      <c r="V20" s="10">
        <f>T22</f>
        <v>1.9266753472222222E-6</v>
      </c>
      <c r="W20" s="10">
        <f>T23</f>
        <v>1.0629687499999993E-6</v>
      </c>
      <c r="X20" s="10">
        <f>T24</f>
        <v>7.054741202751128E-7</v>
      </c>
    </row>
    <row r="21" spans="1:24" x14ac:dyDescent="0.3">
      <c r="A21" s="1" t="s">
        <v>38</v>
      </c>
      <c r="B21" s="10">
        <v>9.7813707647493602E-5</v>
      </c>
      <c r="C21" s="10">
        <v>6.2268370927984285E-5</v>
      </c>
      <c r="D21" s="10">
        <v>-1.2067964333798981E-5</v>
      </c>
      <c r="E21" s="10">
        <v>5.3838829694080016E-5</v>
      </c>
      <c r="F21" s="10">
        <v>1.0608321048955297E-4</v>
      </c>
      <c r="G21" s="10">
        <v>1.3690118909691858E-4</v>
      </c>
      <c r="H21" s="10">
        <v>-3.5367933660815526E-5</v>
      </c>
      <c r="I21" s="10">
        <v>1.0427078614704811E-4</v>
      </c>
      <c r="J21" s="10">
        <v>1.1772585988115483E-4</v>
      </c>
      <c r="K21" s="10">
        <v>3.2849821048955302E-5</v>
      </c>
      <c r="L21" s="10">
        <v>-4.2149537475704553E-5</v>
      </c>
      <c r="M21" s="10">
        <v>-1.3656418233215927E-5</v>
      </c>
      <c r="N21" s="10">
        <v>6.9480267553449991E-8</v>
      </c>
      <c r="O21" s="10">
        <v>-9.5626643598659741E-5</v>
      </c>
      <c r="P21" s="10">
        <v>-4.8775997378117946E-6</v>
      </c>
      <c r="Q21" s="10">
        <v>4.1870915089994324E-5</v>
      </c>
      <c r="R21" s="10">
        <v>3.5128955853174606E-6</v>
      </c>
      <c r="S21" s="10">
        <v>8.3522435693027196E-6</v>
      </c>
      <c r="T21" s="10">
        <v>2.4014315830498867E-6</v>
      </c>
      <c r="U21" s="10">
        <f>VARP('Dados - Histórico retorno'!$U$2:$U$49)</f>
        <v>4.1004908239550011E-5</v>
      </c>
      <c r="V21" s="10">
        <f>U22</f>
        <v>2.2107723037131502E-6</v>
      </c>
      <c r="W21" s="10">
        <f>U23</f>
        <v>3.4785424638605454E-5</v>
      </c>
      <c r="X21" s="10">
        <f>U24</f>
        <v>4.5622562804199752E-6</v>
      </c>
    </row>
    <row r="22" spans="1:24" x14ac:dyDescent="0.3">
      <c r="A22" s="1" t="s">
        <v>39</v>
      </c>
      <c r="B22" s="10">
        <v>4.3699138144841333E-6</v>
      </c>
      <c r="C22" s="10">
        <v>9.1888609871031858E-6</v>
      </c>
      <c r="D22" s="10">
        <v>2.0345695064484127E-5</v>
      </c>
      <c r="E22" s="10">
        <v>-1.6621862599206276E-6</v>
      </c>
      <c r="F22" s="10">
        <v>3.4059665178571438E-5</v>
      </c>
      <c r="G22" s="10">
        <v>2.3075979042658744E-5</v>
      </c>
      <c r="H22" s="10">
        <v>-2.1351624503968586E-7</v>
      </c>
      <c r="I22" s="10">
        <v>9.649786086309561E-6</v>
      </c>
      <c r="J22" s="10">
        <v>1.6205001240079374E-5</v>
      </c>
      <c r="K22" s="10">
        <v>3.8154873511904813E-6</v>
      </c>
      <c r="L22" s="10">
        <v>-3.0592663690476168E-5</v>
      </c>
      <c r="M22" s="10">
        <v>-2.4485063864087281E-5</v>
      </c>
      <c r="N22" s="10">
        <v>-4.0184151785714303E-8</v>
      </c>
      <c r="O22" s="10">
        <v>-4.5555739707341217E-5</v>
      </c>
      <c r="P22" s="10">
        <v>-1.9937065972222222E-6</v>
      </c>
      <c r="Q22" s="10">
        <v>1.7992491319444433E-6</v>
      </c>
      <c r="R22" s="10">
        <v>1.7588975694444443E-6</v>
      </c>
      <c r="S22" s="10">
        <v>1.5458723958333326E-6</v>
      </c>
      <c r="T22" s="10">
        <v>1.9266753472222222E-6</v>
      </c>
      <c r="U22" s="10">
        <v>2.2107723037131502E-6</v>
      </c>
      <c r="V22" s="10">
        <f>VARP('Dados - Histórico retorno'!$V$2:$V$49)</f>
        <v>1.872391493055555E-6</v>
      </c>
      <c r="W22" s="10">
        <f>V23</f>
        <v>9.6351562499999936E-7</v>
      </c>
      <c r="X22" s="10">
        <f>V24</f>
        <v>4.6067486258763918E-7</v>
      </c>
    </row>
    <row r="23" spans="1:24" x14ac:dyDescent="0.3">
      <c r="A23" s="1" t="s">
        <v>40</v>
      </c>
      <c r="B23" s="10">
        <v>4.7942429315476218E-5</v>
      </c>
      <c r="C23" s="10">
        <v>1.6016826636904775E-5</v>
      </c>
      <c r="D23" s="10">
        <v>-4.7461841517857139E-5</v>
      </c>
      <c r="E23" s="10">
        <v>-2.9437224702380956E-5</v>
      </c>
      <c r="F23" s="10">
        <v>4.6505044642857143E-5</v>
      </c>
      <c r="G23" s="10">
        <v>1.0095078497023816E-4</v>
      </c>
      <c r="H23" s="10">
        <v>-2.2370085565476201E-5</v>
      </c>
      <c r="I23" s="10">
        <v>8.8230323660714292E-5</v>
      </c>
      <c r="J23" s="10">
        <v>4.7717775297619043E-5</v>
      </c>
      <c r="K23" s="10">
        <v>1.6534858630952388E-5</v>
      </c>
      <c r="L23" s="10">
        <v>-2.5340505952380942E-5</v>
      </c>
      <c r="M23" s="10">
        <v>-2.9162406994047628E-5</v>
      </c>
      <c r="N23" s="10">
        <v>-4.4735863095238105E-8</v>
      </c>
      <c r="O23" s="10">
        <v>-3.3828661086309511E-4</v>
      </c>
      <c r="P23" s="10">
        <v>-2.0949479166666685E-6</v>
      </c>
      <c r="Q23" s="10">
        <v>4.0502786458333319E-5</v>
      </c>
      <c r="R23" s="10">
        <v>1.1685937500000005E-6</v>
      </c>
      <c r="S23" s="10">
        <v>7.4454427083333348E-6</v>
      </c>
      <c r="T23" s="10">
        <v>1.0629687499999993E-6</v>
      </c>
      <c r="U23" s="10">
        <v>3.4785424638605454E-5</v>
      </c>
      <c r="V23" s="10">
        <v>9.6351562499999936E-7</v>
      </c>
      <c r="W23" s="10">
        <f>VARP('Dados - Histórico retorno'!$W$2:$W$49)</f>
        <v>3.5395260416666688E-5</v>
      </c>
      <c r="X23" s="10">
        <f>W24</f>
        <v>-3.5971913937471403E-6</v>
      </c>
    </row>
    <row r="24" spans="1:24" ht="15" thickBot="1" x14ac:dyDescent="0.35">
      <c r="A24" s="2" t="s">
        <v>41</v>
      </c>
      <c r="B24" s="11">
        <v>4.4281002776570035E-4</v>
      </c>
      <c r="C24" s="11">
        <v>5.339432998452369E-4</v>
      </c>
      <c r="D24" s="11">
        <v>2.0552061697180453E-4</v>
      </c>
      <c r="E24" s="11">
        <v>3.5274196606333149E-4</v>
      </c>
      <c r="F24" s="11">
        <v>6.5999615021188507E-4</v>
      </c>
      <c r="G24" s="11">
        <v>1.5742881172796975E-3</v>
      </c>
      <c r="H24" s="11">
        <v>8.0786379845410267E-4</v>
      </c>
      <c r="I24" s="11">
        <v>7.8836150915362259E-4</v>
      </c>
      <c r="J24" s="11">
        <v>1.0683688877882972E-3</v>
      </c>
      <c r="K24" s="11">
        <v>7.5928540308703191E-4</v>
      </c>
      <c r="L24" s="11">
        <v>1.2628864890138151E-3</v>
      </c>
      <c r="M24" s="11">
        <v>1.4045395727127084E-3</v>
      </c>
      <c r="N24" s="11">
        <v>-1.6709150611976615E-7</v>
      </c>
      <c r="O24" s="11">
        <v>2.8773503437171696E-3</v>
      </c>
      <c r="P24" s="11">
        <v>-1.9151047322721385E-5</v>
      </c>
      <c r="Q24" s="11">
        <v>8.8705599553707454E-6</v>
      </c>
      <c r="R24" s="11">
        <v>4.868484427392928E-6</v>
      </c>
      <c r="S24" s="11">
        <v>-1.1032595486111049E-6</v>
      </c>
      <c r="T24" s="11">
        <v>7.054741202751128E-7</v>
      </c>
      <c r="U24" s="11">
        <v>4.5622562804199752E-6</v>
      </c>
      <c r="V24" s="11">
        <v>4.6067486258763918E-7</v>
      </c>
      <c r="W24" s="11">
        <v>-3.5971913937471403E-6</v>
      </c>
      <c r="X24" s="11">
        <f>VARP('Dados - Histórico retorno'!$X$2:$X$49)</f>
        <v>3.9672037780670788E-4</v>
      </c>
    </row>
  </sheetData>
  <conditionalFormatting sqref="B2:X2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2AC3-7D7C-4BEE-8465-6EA865A22921}">
  <dimension ref="A1:Y24"/>
  <sheetViews>
    <sheetView topLeftCell="B1" workbookViewId="0">
      <selection activeCell="F5" sqref="F2:F5"/>
    </sheetView>
  </sheetViews>
  <sheetFormatPr defaultRowHeight="14.4" x14ac:dyDescent="0.3"/>
  <sheetData>
    <row r="1" spans="1:25" x14ac:dyDescent="0.3">
      <c r="A1" s="3"/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</row>
    <row r="2" spans="1:25" x14ac:dyDescent="0.3">
      <c r="A2" s="20" t="s">
        <v>1</v>
      </c>
      <c r="B2" s="4">
        <v>1</v>
      </c>
      <c r="C2" s="4">
        <f>B3</f>
        <v>0.12590197511897802</v>
      </c>
      <c r="D2" s="4">
        <f>B4</f>
        <v>-0.16016004627905198</v>
      </c>
      <c r="E2" s="4">
        <f>B5</f>
        <v>0.47702196166246136</v>
      </c>
      <c r="F2" s="4">
        <f>B6</f>
        <v>0.10243066086018943</v>
      </c>
      <c r="G2" s="4">
        <f>B7</f>
        <v>8.2981092133218165E-2</v>
      </c>
      <c r="H2" s="4">
        <f>B8</f>
        <v>0.11794567831214957</v>
      </c>
      <c r="I2" s="4">
        <f>B9</f>
        <v>7.8014341706581766E-2</v>
      </c>
      <c r="J2" s="4">
        <f>B10</f>
        <v>0.33348676706022323</v>
      </c>
      <c r="K2" s="4">
        <f>B11</f>
        <v>0.22352974833954184</v>
      </c>
      <c r="L2" s="4">
        <f>B12</f>
        <v>-4.0809124823531447E-2</v>
      </c>
      <c r="M2" s="4">
        <f>B13</f>
        <v>-2.6460049903327273E-3</v>
      </c>
      <c r="N2" s="4">
        <f>B14</f>
        <v>0.13572186234233038</v>
      </c>
      <c r="O2" s="4">
        <f>B15</f>
        <v>-2.9300867837929942E-2</v>
      </c>
      <c r="P2" s="4">
        <f>B16</f>
        <v>-0.37890396013910382</v>
      </c>
      <c r="Q2" s="4">
        <f>B17</f>
        <v>0.19936997202439258</v>
      </c>
      <c r="R2" s="4">
        <f>B18</f>
        <v>1.0488746742753324E-3</v>
      </c>
      <c r="S2" s="4">
        <f>B19</f>
        <v>9.7765238613492067E-2</v>
      </c>
      <c r="T2" s="4">
        <f>B20</f>
        <v>3.9521570079063886E-2</v>
      </c>
      <c r="U2" s="4">
        <f>B21</f>
        <v>0.18957774622578186</v>
      </c>
      <c r="V2" s="4">
        <f>B22</f>
        <v>3.9635112834287708E-2</v>
      </c>
      <c r="W2" s="4">
        <f>B23</f>
        <v>0.10001221307934459</v>
      </c>
      <c r="X2" s="4">
        <f>B24</f>
        <v>0.27591845507337159</v>
      </c>
      <c r="Y2" s="5"/>
    </row>
    <row r="3" spans="1:25" x14ac:dyDescent="0.3">
      <c r="A3" s="20" t="s">
        <v>2</v>
      </c>
      <c r="B3" s="4">
        <v>0.12590197511897802</v>
      </c>
      <c r="C3" s="4">
        <v>1</v>
      </c>
      <c r="D3" s="4">
        <f>C4</f>
        <v>8.860858969792608E-2</v>
      </c>
      <c r="E3" s="4">
        <f>C5</f>
        <v>0.51781217013972625</v>
      </c>
      <c r="F3" s="4">
        <f>C6</f>
        <v>6.4708339131756526E-2</v>
      </c>
      <c r="G3" s="4">
        <f>C7</f>
        <v>4.3146088487489208E-2</v>
      </c>
      <c r="H3" s="4">
        <f>C8</f>
        <v>0.1707825021603164</v>
      </c>
      <c r="I3" s="4">
        <f>C9</f>
        <v>2.2295533847585713E-2</v>
      </c>
      <c r="J3" s="4">
        <f>C10</f>
        <v>0.19729564647825318</v>
      </c>
      <c r="K3" s="4">
        <f>C11</f>
        <v>0.31365839336113283</v>
      </c>
      <c r="L3" s="4">
        <f>C12</f>
        <v>0.15253318668275848</v>
      </c>
      <c r="M3" s="4">
        <f>C13</f>
        <v>0.22946513280113623</v>
      </c>
      <c r="N3" s="4">
        <f>C14</f>
        <v>-0.10677669163704009</v>
      </c>
      <c r="O3" s="4">
        <f>C15</f>
        <v>0.26983106630469661</v>
      </c>
      <c r="P3" s="4">
        <f>C16</f>
        <v>-0.26802458910961757</v>
      </c>
      <c r="Q3" s="4">
        <f>C17</f>
        <v>-1.4693064477692266E-2</v>
      </c>
      <c r="R3" s="4">
        <f>C18</f>
        <v>0.49932202222865923</v>
      </c>
      <c r="S3" s="4">
        <f>C19</f>
        <v>0.14791363901470639</v>
      </c>
      <c r="T3" s="4">
        <f>C20</f>
        <v>0.12670057429795684</v>
      </c>
      <c r="U3" s="4">
        <f>C21</f>
        <v>0.14261547031206348</v>
      </c>
      <c r="V3" s="4">
        <f>C22</f>
        <v>9.8487340144104735E-2</v>
      </c>
      <c r="W3" s="4">
        <f>C23</f>
        <v>3.9483984772975274E-2</v>
      </c>
      <c r="X3" s="4">
        <f>C24</f>
        <v>0.39316055871906141</v>
      </c>
      <c r="Y3" s="5"/>
    </row>
    <row r="4" spans="1:25" x14ac:dyDescent="0.3">
      <c r="A4" s="20" t="s">
        <v>3</v>
      </c>
      <c r="B4" s="4">
        <v>-0.16016004627905198</v>
      </c>
      <c r="C4" s="4">
        <v>8.860858969792608E-2</v>
      </c>
      <c r="D4" s="4">
        <v>1</v>
      </c>
      <c r="E4" s="4">
        <f>D5</f>
        <v>5.7082376253638184E-2</v>
      </c>
      <c r="F4" s="4">
        <f>D6</f>
        <v>0.12602313947824179</v>
      </c>
      <c r="G4" s="4">
        <f>D7</f>
        <v>1.1347314976012402E-2</v>
      </c>
      <c r="H4" s="4">
        <f>D8</f>
        <v>3.2323670603396353E-2</v>
      </c>
      <c r="I4" s="4">
        <f>D9</f>
        <v>1.5434101961631351E-2</v>
      </c>
      <c r="J4" s="4">
        <f>D10</f>
        <v>-1.2937914829308199E-2</v>
      </c>
      <c r="K4" s="4">
        <f>D11</f>
        <v>0.10154973704059062</v>
      </c>
      <c r="L4" s="4">
        <f>D12</f>
        <v>-0.10179641072978232</v>
      </c>
      <c r="M4" s="4">
        <f>D13</f>
        <v>-2.9606323603386428E-2</v>
      </c>
      <c r="N4" s="4">
        <f>D14</f>
        <v>-0.19257454360583343</v>
      </c>
      <c r="O4" s="4">
        <f>D15</f>
        <v>8.1695043792668481E-3</v>
      </c>
      <c r="P4" s="4">
        <f>D16</f>
        <v>-2.8431818387606618E-2</v>
      </c>
      <c r="Q4" s="4">
        <f>D17</f>
        <v>-2.9922010040253976E-2</v>
      </c>
      <c r="R4" s="4">
        <f>D18</f>
        <v>3.0744258320360315E-2</v>
      </c>
      <c r="S4" s="4">
        <f>D19</f>
        <v>0.20749100038401205</v>
      </c>
      <c r="T4" s="4">
        <f>D20</f>
        <v>0.18458736682821469</v>
      </c>
      <c r="U4" s="4">
        <f>D21</f>
        <v>-2.379579051596652E-2</v>
      </c>
      <c r="V4" s="4">
        <f>D22</f>
        <v>0.18774061780835077</v>
      </c>
      <c r="W4" s="4">
        <f>D23</f>
        <v>-0.10072935894642453</v>
      </c>
      <c r="X4" s="4">
        <f>D24</f>
        <v>0.13028582932530319</v>
      </c>
      <c r="Y4" s="5"/>
    </row>
    <row r="5" spans="1:25" x14ac:dyDescent="0.3">
      <c r="A5" s="20" t="s">
        <v>4</v>
      </c>
      <c r="B5" s="4">
        <v>0.47702196166246136</v>
      </c>
      <c r="C5" s="4">
        <v>0.51781217013972625</v>
      </c>
      <c r="D5" s="4">
        <v>5.7082376253638184E-2</v>
      </c>
      <c r="E5" s="4">
        <v>1</v>
      </c>
      <c r="F5" s="4">
        <f>E6</f>
        <v>3.7255322894042146E-2</v>
      </c>
      <c r="G5" s="4">
        <f>E7</f>
        <v>-2.2691244057888197E-2</v>
      </c>
      <c r="H5" s="4">
        <f>E8</f>
        <v>-0.11978783641245862</v>
      </c>
      <c r="I5" s="4">
        <f>E9</f>
        <v>0.1164369201417183</v>
      </c>
      <c r="J5" s="4">
        <f>E10</f>
        <v>0.20233247813129485</v>
      </c>
      <c r="K5" s="4">
        <f>E11</f>
        <v>0.14008786873921675</v>
      </c>
      <c r="L5" s="4">
        <f>E12</f>
        <v>-4.8237828004864952E-4</v>
      </c>
      <c r="M5" s="4">
        <f>E13</f>
        <v>0.12205564499807327</v>
      </c>
      <c r="N5" s="4">
        <f>E14</f>
        <v>0.15841968014825131</v>
      </c>
      <c r="O5" s="4">
        <f>E15</f>
        <v>0.20514703373400991</v>
      </c>
      <c r="P5" s="4">
        <f>E16</f>
        <v>-0.18813973443547519</v>
      </c>
      <c r="Q5" s="4">
        <f>E17</f>
        <v>-3.8178045946948548E-2</v>
      </c>
      <c r="R5" s="4">
        <f>E18</f>
        <v>0.23031008313626236</v>
      </c>
      <c r="S5" s="4">
        <f>E19</f>
        <v>-0.11858294970502703</v>
      </c>
      <c r="T5" s="4">
        <f>E20</f>
        <v>-9.4296016741209909E-3</v>
      </c>
      <c r="U5" s="4">
        <f>E21</f>
        <v>0.11951629178389697</v>
      </c>
      <c r="V5" s="4">
        <f>E22</f>
        <v>-1.7267552274973501E-2</v>
      </c>
      <c r="W5" s="4">
        <f>E23</f>
        <v>-7.0335362173536684E-2</v>
      </c>
      <c r="X5" s="4">
        <f>E24</f>
        <v>0.25174699650186722</v>
      </c>
      <c r="Y5" s="5"/>
    </row>
    <row r="6" spans="1:25" x14ac:dyDescent="0.3">
      <c r="A6" s="20" t="s">
        <v>5</v>
      </c>
      <c r="B6" s="4">
        <v>0.10243066086018943</v>
      </c>
      <c r="C6" s="4">
        <v>6.4708339131756526E-2</v>
      </c>
      <c r="D6" s="4">
        <v>0.12602313947824179</v>
      </c>
      <c r="E6" s="4">
        <v>3.7255322894042146E-2</v>
      </c>
      <c r="F6" s="4">
        <v>1</v>
      </c>
      <c r="G6" s="4">
        <f>F7</f>
        <v>0.51705452484676639</v>
      </c>
      <c r="H6" s="4">
        <f>F8</f>
        <v>0.27130847549986281</v>
      </c>
      <c r="I6" s="4">
        <f>F9</f>
        <v>0.30253281026562212</v>
      </c>
      <c r="J6" s="4">
        <f>F10</f>
        <v>0.6282752529797806</v>
      </c>
      <c r="K6" s="4">
        <f>F11</f>
        <v>0.54852425637991775</v>
      </c>
      <c r="L6" s="4">
        <f>F12</f>
        <v>0.17462983749524541</v>
      </c>
      <c r="M6" s="4">
        <f>F13</f>
        <v>0.20983742723320037</v>
      </c>
      <c r="N6" s="4">
        <f>F14</f>
        <v>-0.11066167998469309</v>
      </c>
      <c r="O6" s="4">
        <f>F15</f>
        <v>0.26038500135267806</v>
      </c>
      <c r="P6" s="4">
        <f>F16</f>
        <v>-0.25543888766632888</v>
      </c>
      <c r="Q6" s="4">
        <f>F17</f>
        <v>0.12626963415683456</v>
      </c>
      <c r="R6" s="4">
        <f>F18</f>
        <v>0.20322678070293423</v>
      </c>
      <c r="S6" s="4">
        <f>F19</f>
        <v>7.3914710502429759E-2</v>
      </c>
      <c r="T6" s="4">
        <f>F20</f>
        <v>0.3032044900782625</v>
      </c>
      <c r="U6" s="4">
        <f>F21</f>
        <v>0.2001869701189691</v>
      </c>
      <c r="V6" s="4">
        <f>F22</f>
        <v>0.30078011333674631</v>
      </c>
      <c r="W6" s="4">
        <f>F23</f>
        <v>9.4457094727102925E-2</v>
      </c>
      <c r="X6" s="4">
        <f>F24</f>
        <v>0.40041120467536212</v>
      </c>
      <c r="Y6" s="5"/>
    </row>
    <row r="7" spans="1:25" x14ac:dyDescent="0.3">
      <c r="A7" s="20" t="s">
        <v>6</v>
      </c>
      <c r="B7" s="4">
        <v>8.2981092133218165E-2</v>
      </c>
      <c r="C7" s="4">
        <v>4.3146088487489208E-2</v>
      </c>
      <c r="D7" s="4">
        <v>1.1347314976012402E-2</v>
      </c>
      <c r="E7" s="4">
        <v>-2.2691244057888197E-2</v>
      </c>
      <c r="F7" s="4">
        <v>0.51705452484676639</v>
      </c>
      <c r="G7" s="4">
        <v>1</v>
      </c>
      <c r="H7" s="4">
        <f>G8</f>
        <v>0.32680266525518892</v>
      </c>
      <c r="I7" s="4">
        <f>G9</f>
        <v>0.55686091066814558</v>
      </c>
      <c r="J7" s="4">
        <f>G10</f>
        <v>0.67239911737287739</v>
      </c>
      <c r="K7" s="4">
        <f>G11</f>
        <v>0.74256480150690518</v>
      </c>
      <c r="L7" s="4">
        <f>G12</f>
        <v>0.43613637322511267</v>
      </c>
      <c r="M7" s="4">
        <f>G13</f>
        <v>0.45989365557929224</v>
      </c>
      <c r="N7" s="4">
        <f>G14</f>
        <v>-0.24852828288087411</v>
      </c>
      <c r="O7" s="4">
        <f>G15</f>
        <v>0.32801697675980712</v>
      </c>
      <c r="P7" s="4">
        <f>G16</f>
        <v>1.3623042983001451E-2</v>
      </c>
      <c r="Q7" s="4">
        <f>G17</f>
        <v>0.20132444754349621</v>
      </c>
      <c r="R7" s="4">
        <f>G18</f>
        <v>6.2566272105194665E-2</v>
      </c>
      <c r="S7" s="4">
        <f>G19</f>
        <v>-0.12901992657465713</v>
      </c>
      <c r="T7" s="4">
        <f>G20</f>
        <v>0.11393761627031164</v>
      </c>
      <c r="U7" s="4">
        <f>G21</f>
        <v>0.14498278847870485</v>
      </c>
      <c r="V7" s="4">
        <f>G22</f>
        <v>0.1143638998163331</v>
      </c>
      <c r="W7" s="4">
        <f>G23</f>
        <v>0.1150705779803512</v>
      </c>
      <c r="X7" s="4">
        <f>G24</f>
        <v>0.53600533599806255</v>
      </c>
      <c r="Y7" s="5"/>
    </row>
    <row r="8" spans="1:25" x14ac:dyDescent="0.3">
      <c r="A8" s="20" t="s">
        <v>25</v>
      </c>
      <c r="B8" s="4">
        <v>0.11794567831214957</v>
      </c>
      <c r="C8" s="4">
        <v>0.1707825021603164</v>
      </c>
      <c r="D8" s="4">
        <v>3.2323670603396353E-2</v>
      </c>
      <c r="E8" s="4">
        <v>-0.11978783641245862</v>
      </c>
      <c r="F8" s="4">
        <v>0.27130847549986281</v>
      </c>
      <c r="G8" s="4">
        <v>0.32680266525518892</v>
      </c>
      <c r="H8" s="4">
        <v>1</v>
      </c>
      <c r="I8" s="4">
        <f>H9</f>
        <v>0.14177022766359459</v>
      </c>
      <c r="J8" s="4">
        <f>H10</f>
        <v>0.41698157087531879</v>
      </c>
      <c r="K8" s="4">
        <f>H11</f>
        <v>0.61627076262251324</v>
      </c>
      <c r="L8" s="4">
        <f>H12</f>
        <v>0.20826905331468867</v>
      </c>
      <c r="M8" s="4">
        <f>H13</f>
        <v>0.1974700211149116</v>
      </c>
      <c r="N8" s="4">
        <f>H14</f>
        <v>-0.11283715240267014</v>
      </c>
      <c r="O8" s="4">
        <f>H15</f>
        <v>0.27302531331959112</v>
      </c>
      <c r="P8" s="4">
        <f>H16</f>
        <v>-0.28280779271391698</v>
      </c>
      <c r="Q8" s="4">
        <f>H17</f>
        <v>-2.8993985557782473E-2</v>
      </c>
      <c r="R8" s="4">
        <f>H18</f>
        <v>-4.4518308507921427E-2</v>
      </c>
      <c r="S8" s="4">
        <f>H19</f>
        <v>0.15688043937648444</v>
      </c>
      <c r="T8" s="4">
        <f>H20</f>
        <v>1.241568123403332E-2</v>
      </c>
      <c r="U8" s="4">
        <f>H21</f>
        <v>-8.1183762853508715E-2</v>
      </c>
      <c r="V8" s="4">
        <f>H22</f>
        <v>-2.2935594693736213E-3</v>
      </c>
      <c r="W8" s="4">
        <f>H23</f>
        <v>-5.5267841205018362E-2</v>
      </c>
      <c r="X8" s="4">
        <f>H24</f>
        <v>0.59617437430689091</v>
      </c>
      <c r="Y8" s="5"/>
    </row>
    <row r="9" spans="1:25" x14ac:dyDescent="0.3">
      <c r="A9" s="20" t="s">
        <v>26</v>
      </c>
      <c r="B9" s="4">
        <v>7.8014341706581766E-2</v>
      </c>
      <c r="C9" s="4">
        <v>2.2295533847585713E-2</v>
      </c>
      <c r="D9" s="4">
        <v>1.5434101961631351E-2</v>
      </c>
      <c r="E9" s="4">
        <v>0.1164369201417183</v>
      </c>
      <c r="F9" s="4">
        <v>0.30253281026562212</v>
      </c>
      <c r="G9" s="4">
        <v>0.55686091066814558</v>
      </c>
      <c r="H9" s="4">
        <v>0.14177022766359459</v>
      </c>
      <c r="I9" s="4">
        <v>1</v>
      </c>
      <c r="J9" s="4">
        <f>I10</f>
        <v>0.44112719624855251</v>
      </c>
      <c r="K9" s="4">
        <f>I11</f>
        <v>0.46354638900895234</v>
      </c>
      <c r="L9" s="4">
        <f>I12</f>
        <v>0.3390219632038734</v>
      </c>
      <c r="M9" s="4">
        <f>I13</f>
        <v>0.33605176851270741</v>
      </c>
      <c r="N9" s="4">
        <f>I14</f>
        <v>-0.16121922641985045</v>
      </c>
      <c r="O9" s="4">
        <f>I15</f>
        <v>0.24770416244352944</v>
      </c>
      <c r="P9" s="4">
        <f>I16</f>
        <v>-3.7460123303959723E-2</v>
      </c>
      <c r="Q9" s="4">
        <f>I17</f>
        <v>0.14788850668448097</v>
      </c>
      <c r="R9" s="4">
        <f>I18</f>
        <v>4.6133686250713117E-2</v>
      </c>
      <c r="S9" s="4">
        <f>I19</f>
        <v>-0.21364119665418765</v>
      </c>
      <c r="T9" s="4">
        <f>I20</f>
        <v>7.3918174323775621E-2</v>
      </c>
      <c r="U9" s="4">
        <f>I21</f>
        <v>0.12784105686078223</v>
      </c>
      <c r="V9" s="4">
        <f>I22</f>
        <v>5.5366233893177276E-2</v>
      </c>
      <c r="W9" s="4">
        <f>I23</f>
        <v>0.11643162075402669</v>
      </c>
      <c r="X9" s="4">
        <f>I24</f>
        <v>0.31074831637970229</v>
      </c>
      <c r="Y9" s="5"/>
    </row>
    <row r="10" spans="1:25" x14ac:dyDescent="0.3">
      <c r="A10" s="20" t="s">
        <v>27</v>
      </c>
      <c r="B10" s="4">
        <v>0.33348676706022323</v>
      </c>
      <c r="C10" s="4">
        <v>0.19729564647825318</v>
      </c>
      <c r="D10" s="4">
        <v>-1.2937914829308199E-2</v>
      </c>
      <c r="E10" s="4">
        <v>0.20233247813129485</v>
      </c>
      <c r="F10" s="4">
        <v>0.6282752529797806</v>
      </c>
      <c r="G10" s="4">
        <v>0.67239911737287739</v>
      </c>
      <c r="H10" s="4">
        <v>0.41698157087531879</v>
      </c>
      <c r="I10" s="4">
        <v>0.44112719624855251</v>
      </c>
      <c r="J10" s="4">
        <v>1</v>
      </c>
      <c r="K10" s="4">
        <f>J11</f>
        <v>0.69447850082912566</v>
      </c>
      <c r="L10" s="4">
        <f>J12</f>
        <v>0.60081462916061901</v>
      </c>
      <c r="M10" s="4">
        <f>J13</f>
        <v>0.62544438815389758</v>
      </c>
      <c r="N10" s="4">
        <f>J14</f>
        <v>-0.22148761055483293</v>
      </c>
      <c r="O10" s="4">
        <f>J15</f>
        <v>0.54347969373435745</v>
      </c>
      <c r="P10" s="4">
        <f>J16</f>
        <v>-0.27945129892678539</v>
      </c>
      <c r="Q10" s="4">
        <f>J17</f>
        <v>0.15058219295368372</v>
      </c>
      <c r="R10" s="4">
        <f>J18</f>
        <v>0.1002627053667224</v>
      </c>
      <c r="S10" s="4">
        <f>J19</f>
        <v>-5.0824243822074552E-2</v>
      </c>
      <c r="T10" s="4">
        <f>J20</f>
        <v>0.125726729990321</v>
      </c>
      <c r="U10" s="4">
        <f>J21</f>
        <v>0.19593705750042714</v>
      </c>
      <c r="V10" s="4">
        <f>J22</f>
        <v>0.12621569748132205</v>
      </c>
      <c r="W10" s="4">
        <f>J23</f>
        <v>8.5481131934083396E-2</v>
      </c>
      <c r="X10" s="4">
        <f>J24</f>
        <v>0.57166500929209185</v>
      </c>
      <c r="Y10" s="5"/>
    </row>
    <row r="11" spans="1:25" x14ac:dyDescent="0.3">
      <c r="A11" s="20" t="s">
        <v>28</v>
      </c>
      <c r="B11" s="4">
        <v>0.22352974833954184</v>
      </c>
      <c r="C11" s="4">
        <v>0.31365839336113283</v>
      </c>
      <c r="D11" s="4">
        <v>0.10154973704059062</v>
      </c>
      <c r="E11" s="4">
        <v>0.14008786873921675</v>
      </c>
      <c r="F11" s="4">
        <v>0.54852425637991775</v>
      </c>
      <c r="G11" s="4">
        <v>0.74256480150690518</v>
      </c>
      <c r="H11" s="4">
        <v>0.61627076262251324</v>
      </c>
      <c r="I11" s="4">
        <v>0.46354638900895234</v>
      </c>
      <c r="J11" s="4">
        <v>0.69447850082912566</v>
      </c>
      <c r="K11" s="4">
        <v>1</v>
      </c>
      <c r="L11" s="4">
        <f>K12</f>
        <v>0.46322741841402232</v>
      </c>
      <c r="M11" s="4">
        <f>K13</f>
        <v>0.52048860636292316</v>
      </c>
      <c r="N11" s="4">
        <f>K14</f>
        <v>-0.19470397373398865</v>
      </c>
      <c r="O11" s="4">
        <f>K15</f>
        <v>0.41987850384679348</v>
      </c>
      <c r="P11" s="4">
        <f>K16</f>
        <v>-0.1666748342608686</v>
      </c>
      <c r="Q11" s="4">
        <f>K17</f>
        <v>0.12770692443669052</v>
      </c>
      <c r="R11" s="4">
        <f>K18</f>
        <v>0.16791746342239097</v>
      </c>
      <c r="S11" s="4">
        <f>K19</f>
        <v>1.2111130491426408E-2</v>
      </c>
      <c r="T11" s="4">
        <f>K20</f>
        <v>7.7678231737071779E-2</v>
      </c>
      <c r="U11" s="4">
        <f>K21</f>
        <v>0.11443686912520752</v>
      </c>
      <c r="V11" s="4">
        <f>K22</f>
        <v>6.2201745224481839E-2</v>
      </c>
      <c r="W11" s="4">
        <f>K23</f>
        <v>6.1998161596253182E-2</v>
      </c>
      <c r="X11" s="4">
        <f>K24</f>
        <v>0.85038125409409959</v>
      </c>
      <c r="Y11" s="5"/>
    </row>
    <row r="12" spans="1:25" x14ac:dyDescent="0.3">
      <c r="A12" s="20" t="s">
        <v>29</v>
      </c>
      <c r="B12" s="4">
        <v>-4.0809124823531447E-2</v>
      </c>
      <c r="C12" s="4">
        <v>0.15253318668275848</v>
      </c>
      <c r="D12" s="4">
        <v>-0.10179641072978232</v>
      </c>
      <c r="E12" s="4">
        <v>-4.8237828004864952E-4</v>
      </c>
      <c r="F12" s="4">
        <v>0.17462983749524541</v>
      </c>
      <c r="G12" s="4">
        <v>0.43613637322511267</v>
      </c>
      <c r="H12" s="4">
        <v>0.20826905331468867</v>
      </c>
      <c r="I12" s="4">
        <v>0.3390219632038734</v>
      </c>
      <c r="J12" s="4">
        <v>0.60081462916061901</v>
      </c>
      <c r="K12" s="4">
        <v>0.46322741841402232</v>
      </c>
      <c r="L12" s="4">
        <v>1</v>
      </c>
      <c r="M12" s="4">
        <f>L13</f>
        <v>0.96502333288769104</v>
      </c>
      <c r="N12" s="4">
        <f>L14</f>
        <v>-9.2186031506234653E-2</v>
      </c>
      <c r="O12" s="4">
        <f>L15</f>
        <v>0.75310212743104932</v>
      </c>
      <c r="P12" s="4">
        <f>L16</f>
        <v>-3.5587421670805869E-3</v>
      </c>
      <c r="Q12" s="4">
        <f>L17</f>
        <v>1.2946339889636742E-2</v>
      </c>
      <c r="R12" s="4">
        <f>L18</f>
        <v>-3.4375015835169311E-2</v>
      </c>
      <c r="S12" s="4">
        <f>L19</f>
        <v>-0.23194220645884459</v>
      </c>
      <c r="T12" s="4">
        <f>L20</f>
        <v>-0.13834312177720015</v>
      </c>
      <c r="U12" s="4">
        <f>L21</f>
        <v>-4.256245169984671E-2</v>
      </c>
      <c r="V12" s="4">
        <f>L22</f>
        <v>-0.14456751240927662</v>
      </c>
      <c r="W12" s="4">
        <f>L23</f>
        <v>-2.754193640495398E-2</v>
      </c>
      <c r="X12" s="4">
        <f>L24</f>
        <v>0.40999051337404613</v>
      </c>
      <c r="Y12" s="5"/>
    </row>
    <row r="13" spans="1:25" x14ac:dyDescent="0.3">
      <c r="A13" s="20" t="s">
        <v>30</v>
      </c>
      <c r="B13" s="4">
        <v>-2.6460049903327273E-3</v>
      </c>
      <c r="C13" s="4">
        <v>0.22946513280113623</v>
      </c>
      <c r="D13" s="4">
        <v>-2.9606323603386428E-2</v>
      </c>
      <c r="E13" s="4">
        <v>0.12205564499807327</v>
      </c>
      <c r="F13" s="4">
        <v>0.20983742723320037</v>
      </c>
      <c r="G13" s="4">
        <v>0.45989365557929224</v>
      </c>
      <c r="H13" s="4">
        <v>0.1974700211149116</v>
      </c>
      <c r="I13" s="4">
        <v>0.33605176851270741</v>
      </c>
      <c r="J13" s="4">
        <v>0.62544438815389758</v>
      </c>
      <c r="K13" s="4">
        <v>0.52048860636292316</v>
      </c>
      <c r="L13" s="4">
        <v>0.96502333288769104</v>
      </c>
      <c r="M13" s="4">
        <v>1</v>
      </c>
      <c r="N13" s="4">
        <f>M14</f>
        <v>-6.3445626158123339E-2</v>
      </c>
      <c r="O13" s="4">
        <f>M15</f>
        <v>0.76674861029334818</v>
      </c>
      <c r="P13" s="4">
        <f>M16</f>
        <v>2.7444218160738981E-3</v>
      </c>
      <c r="Q13" s="4">
        <f>M17</f>
        <v>2.4707004097742017E-2</v>
      </c>
      <c r="R13" s="4">
        <f>M18</f>
        <v>5.2869583323025531E-3</v>
      </c>
      <c r="S13" s="4">
        <f>M19</f>
        <v>-0.22922726846659588</v>
      </c>
      <c r="T13" s="4">
        <f>M20</f>
        <v>-0.11729590438048554</v>
      </c>
      <c r="U13" s="4">
        <f>M21</f>
        <v>-1.3699471542154324E-2</v>
      </c>
      <c r="V13" s="4">
        <f>M22</f>
        <v>-0.11494440577309967</v>
      </c>
      <c r="W13" s="4">
        <f>M23</f>
        <v>-3.1487322966095035E-2</v>
      </c>
      <c r="X13" s="4">
        <f>M24</f>
        <v>0.45297752386956791</v>
      </c>
      <c r="Y13" s="5"/>
    </row>
    <row r="14" spans="1:25" x14ac:dyDescent="0.3">
      <c r="A14" s="20" t="s">
        <v>31</v>
      </c>
      <c r="B14" s="4">
        <v>0.13572186234233038</v>
      </c>
      <c r="C14" s="4">
        <v>-0.10677669163704009</v>
      </c>
      <c r="D14" s="4">
        <v>-0.19257454360583343</v>
      </c>
      <c r="E14" s="4">
        <v>0.15841968014825131</v>
      </c>
      <c r="F14" s="4">
        <v>-0.11066167998469309</v>
      </c>
      <c r="G14" s="4">
        <v>-0.24852828288087411</v>
      </c>
      <c r="H14" s="4">
        <v>-0.11283715240267014</v>
      </c>
      <c r="I14" s="4">
        <v>-0.16121922641985045</v>
      </c>
      <c r="J14" s="4">
        <v>-0.22148761055483293</v>
      </c>
      <c r="K14" s="4">
        <v>-0.19470397373398865</v>
      </c>
      <c r="L14" s="4">
        <v>-9.2186031506234653E-2</v>
      </c>
      <c r="M14" s="4">
        <v>-6.3445626158123339E-2</v>
      </c>
      <c r="N14" s="4">
        <v>1</v>
      </c>
      <c r="O14" s="4">
        <f>N15</f>
        <v>-2.6140041783977074E-2</v>
      </c>
      <c r="P14" s="4">
        <f>N16</f>
        <v>-8.2019558734724954E-2</v>
      </c>
      <c r="Q14" s="4">
        <f>N17</f>
        <v>-1.8879848460345884E-2</v>
      </c>
      <c r="R14" s="4">
        <f>N18</f>
        <v>8.9298460497095195E-2</v>
      </c>
      <c r="S14" s="4">
        <f>N19</f>
        <v>2.1260849000163763E-2</v>
      </c>
      <c r="T14" s="4">
        <f>N20</f>
        <v>-0.17286651191154168</v>
      </c>
      <c r="U14" s="4">
        <f>N21</f>
        <v>5.4065814258990715E-2</v>
      </c>
      <c r="V14" s="4">
        <f>N22</f>
        <v>-0.14633077207820197</v>
      </c>
      <c r="W14" s="4">
        <f>N23</f>
        <v>-3.7468167477426123E-2</v>
      </c>
      <c r="X14" s="4">
        <f>N24</f>
        <v>-4.1801446205392778E-2</v>
      </c>
      <c r="Y14" s="5"/>
    </row>
    <row r="15" spans="1:25" x14ac:dyDescent="0.3">
      <c r="A15" s="20" t="s">
        <v>32</v>
      </c>
      <c r="B15" s="4">
        <v>-2.9300867837929942E-2</v>
      </c>
      <c r="C15" s="4">
        <v>0.26983106630469661</v>
      </c>
      <c r="D15" s="4">
        <v>8.1695043792668481E-3</v>
      </c>
      <c r="E15" s="4">
        <v>0.20514703373400991</v>
      </c>
      <c r="F15" s="4">
        <v>0.26038500135267806</v>
      </c>
      <c r="G15" s="4">
        <v>0.32801697675980712</v>
      </c>
      <c r="H15" s="4">
        <v>0.27302531331959112</v>
      </c>
      <c r="I15" s="4">
        <v>0.24770416244352944</v>
      </c>
      <c r="J15" s="4">
        <v>0.54347969373435745</v>
      </c>
      <c r="K15" s="4">
        <v>0.41987850384679348</v>
      </c>
      <c r="L15" s="4">
        <v>0.75310212743104932</v>
      </c>
      <c r="M15" s="4">
        <v>0.76674861029334818</v>
      </c>
      <c r="N15" s="4">
        <v>-2.6140041783977074E-2</v>
      </c>
      <c r="O15" s="4">
        <v>1</v>
      </c>
      <c r="P15" s="4">
        <f>O16</f>
        <v>-7.1157973334350699E-2</v>
      </c>
      <c r="Q15" s="4">
        <f>O17</f>
        <v>-5.1570051719821847E-2</v>
      </c>
      <c r="R15" s="4">
        <f>O18</f>
        <v>0.10164858341914224</v>
      </c>
      <c r="S15" s="4">
        <f>O19</f>
        <v>-0.19609227369992421</v>
      </c>
      <c r="T15" s="4">
        <f>O20</f>
        <v>-8.3492052024351504E-2</v>
      </c>
      <c r="U15" s="4">
        <f>O21</f>
        <v>-4.2935757228572409E-2</v>
      </c>
      <c r="V15" s="4">
        <f>O22</f>
        <v>-9.5720048348980749E-2</v>
      </c>
      <c r="W15" s="4">
        <f>O23</f>
        <v>-0.16348216829379275</v>
      </c>
      <c r="X15" s="4">
        <f>O24</f>
        <v>0.41534465512692731</v>
      </c>
      <c r="Y15" s="5"/>
    </row>
    <row r="16" spans="1:25" x14ac:dyDescent="0.3">
      <c r="A16" s="20" t="s">
        <v>91</v>
      </c>
      <c r="B16" s="4">
        <v>-0.37890396013910382</v>
      </c>
      <c r="C16" s="4">
        <v>-0.26802458910961757</v>
      </c>
      <c r="D16" s="4">
        <v>-2.8431818387606618E-2</v>
      </c>
      <c r="E16" s="4">
        <v>-0.18813973443547519</v>
      </c>
      <c r="F16" s="4">
        <v>-0.25543888766632888</v>
      </c>
      <c r="G16" s="4">
        <v>1.3623042983001451E-2</v>
      </c>
      <c r="H16" s="4">
        <v>-0.28280779271391698</v>
      </c>
      <c r="I16" s="4">
        <v>-3.7460123303959723E-2</v>
      </c>
      <c r="J16" s="4">
        <v>-0.27945129892678539</v>
      </c>
      <c r="K16" s="4">
        <v>-0.1666748342608686</v>
      </c>
      <c r="L16" s="4">
        <v>-3.5587421670805869E-3</v>
      </c>
      <c r="M16" s="4">
        <v>2.7444218160738981E-3</v>
      </c>
      <c r="N16" s="4">
        <v>-8.2019558734724954E-2</v>
      </c>
      <c r="O16" s="4">
        <v>-7.1157973334350699E-2</v>
      </c>
      <c r="P16" s="4">
        <v>1</v>
      </c>
      <c r="Q16" s="4">
        <f>P17</f>
        <v>-0.14087884690134198</v>
      </c>
      <c r="R16" s="4">
        <f>P18</f>
        <v>-8.2492753893202639E-2</v>
      </c>
      <c r="S16" s="4">
        <f>P19</f>
        <v>-0.35418483189716743</v>
      </c>
      <c r="T16" s="4">
        <f>P20</f>
        <v>-0.38540180566504378</v>
      </c>
      <c r="U16" s="4">
        <f>P21</f>
        <v>-0.1941247923242129</v>
      </c>
      <c r="V16" s="4">
        <f>P22</f>
        <v>-0.37132627757830905</v>
      </c>
      <c r="W16" s="4">
        <f>P23</f>
        <v>-8.9741524298208974E-2</v>
      </c>
      <c r="X16" s="4">
        <f>P24</f>
        <v>-0.24504341857455153</v>
      </c>
      <c r="Y16" s="5"/>
    </row>
    <row r="17" spans="1:25" x14ac:dyDescent="0.3">
      <c r="A17" s="20" t="s">
        <v>34</v>
      </c>
      <c r="B17" s="4">
        <v>0.19936997202439258</v>
      </c>
      <c r="C17" s="4">
        <v>-1.4693064477692266E-2</v>
      </c>
      <c r="D17" s="4">
        <v>-2.9922010040253976E-2</v>
      </c>
      <c r="E17" s="4">
        <v>-3.8178045946948548E-2</v>
      </c>
      <c r="F17" s="4">
        <v>0.12626963415683456</v>
      </c>
      <c r="G17" s="4">
        <v>0.20132444754349621</v>
      </c>
      <c r="H17" s="4">
        <v>-2.8993985557782473E-2</v>
      </c>
      <c r="I17" s="4">
        <v>0.14788850668448097</v>
      </c>
      <c r="J17" s="4">
        <v>0.15058219295368372</v>
      </c>
      <c r="K17" s="4">
        <v>0.12770692443669052</v>
      </c>
      <c r="L17" s="4">
        <v>1.2946339889636742E-2</v>
      </c>
      <c r="M17" s="4">
        <v>2.4707004097742017E-2</v>
      </c>
      <c r="N17" s="4">
        <v>-1.8879848460345884E-2</v>
      </c>
      <c r="O17" s="4">
        <v>-5.1570051719821847E-2</v>
      </c>
      <c r="P17" s="4">
        <v>-0.14087884690134198</v>
      </c>
      <c r="Q17" s="4">
        <v>1</v>
      </c>
      <c r="R17" s="4">
        <f>Q18</f>
        <v>6.3491619043336722E-2</v>
      </c>
      <c r="S17" s="4">
        <f>Q19</f>
        <v>0.54074583792502873</v>
      </c>
      <c r="T17" s="4">
        <f>Q20</f>
        <v>0.1809922369181334</v>
      </c>
      <c r="U17" s="4">
        <f>Q21</f>
        <v>0.89132340341162586</v>
      </c>
      <c r="V17" s="4">
        <f>Q22</f>
        <v>0.17923951156162402</v>
      </c>
      <c r="W17" s="4">
        <f>Q23</f>
        <v>0.92801100386031765</v>
      </c>
      <c r="X17" s="4">
        <f>Q24</f>
        <v>6.0708508162395002E-2</v>
      </c>
      <c r="Y17" s="5"/>
    </row>
    <row r="18" spans="1:25" x14ac:dyDescent="0.3">
      <c r="A18" s="20" t="s">
        <v>35</v>
      </c>
      <c r="B18" s="4">
        <v>1.0488746742753324E-3</v>
      </c>
      <c r="C18" s="4">
        <v>0.49932202222865923</v>
      </c>
      <c r="D18" s="4">
        <v>3.0744258320360315E-2</v>
      </c>
      <c r="E18" s="4">
        <v>0.23031008313626236</v>
      </c>
      <c r="F18" s="4">
        <v>0.20322678070293423</v>
      </c>
      <c r="G18" s="4">
        <v>6.2566272105194665E-2</v>
      </c>
      <c r="H18" s="4">
        <v>-4.4518308507921427E-2</v>
      </c>
      <c r="I18" s="4">
        <v>4.6133686250713117E-2</v>
      </c>
      <c r="J18" s="4">
        <v>0.1002627053667224</v>
      </c>
      <c r="K18" s="4">
        <v>0.16791746342239097</v>
      </c>
      <c r="L18" s="4">
        <v>-3.4375015835169311E-2</v>
      </c>
      <c r="M18" s="4">
        <v>5.2869583323025531E-3</v>
      </c>
      <c r="N18" s="4">
        <v>8.9298460497095195E-2</v>
      </c>
      <c r="O18" s="4">
        <v>0.10164858341914224</v>
      </c>
      <c r="P18" s="4">
        <v>-8.2492753893202639E-2</v>
      </c>
      <c r="Q18" s="4">
        <v>6.3491619043336722E-2</v>
      </c>
      <c r="R18" s="4">
        <v>1</v>
      </c>
      <c r="S18" s="4">
        <f>R19</f>
        <v>0.38005335640369814</v>
      </c>
      <c r="T18" s="4">
        <f>R20</f>
        <v>0.63511531435136248</v>
      </c>
      <c r="U18" s="4">
        <f>R21</f>
        <v>0.26869958946917344</v>
      </c>
      <c r="V18" s="4">
        <f>R22</f>
        <v>0.62959591693054129</v>
      </c>
      <c r="W18" s="4">
        <f>R23</f>
        <v>9.6207889349522582E-2</v>
      </c>
      <c r="X18" s="4">
        <f>R24</f>
        <v>0.11972124224561141</v>
      </c>
      <c r="Y18" s="5"/>
    </row>
    <row r="19" spans="1:25" x14ac:dyDescent="0.3">
      <c r="A19" s="20" t="s">
        <v>36</v>
      </c>
      <c r="B19" s="4">
        <v>9.7765238613492067E-2</v>
      </c>
      <c r="C19" s="4">
        <v>0.14791363901470639</v>
      </c>
      <c r="D19" s="4">
        <v>0.20749100038401205</v>
      </c>
      <c r="E19" s="4">
        <v>-0.11858294970502703</v>
      </c>
      <c r="F19" s="4">
        <v>7.3914710502429759E-2</v>
      </c>
      <c r="G19" s="4">
        <v>-0.12901992657465713</v>
      </c>
      <c r="H19" s="4">
        <v>0.15688043937648444</v>
      </c>
      <c r="I19" s="4">
        <v>-0.21364119665418765</v>
      </c>
      <c r="J19" s="4">
        <v>-5.0824243822074552E-2</v>
      </c>
      <c r="K19" s="4">
        <v>1.2111130491426408E-2</v>
      </c>
      <c r="L19" s="4">
        <v>-0.23194220645884459</v>
      </c>
      <c r="M19" s="4">
        <v>-0.22922726846659588</v>
      </c>
      <c r="N19" s="4">
        <v>2.1260849000163763E-2</v>
      </c>
      <c r="O19" s="4">
        <v>-0.19609227369992421</v>
      </c>
      <c r="P19" s="4">
        <v>-0.35418483189716743</v>
      </c>
      <c r="Q19" s="4">
        <v>0.54074583792502873</v>
      </c>
      <c r="R19" s="4">
        <v>0.38005335640369814</v>
      </c>
      <c r="S19" s="4">
        <v>1</v>
      </c>
      <c r="T19" s="4">
        <f>S20</f>
        <v>0.56155237447480622</v>
      </c>
      <c r="U19" s="4">
        <f>S21</f>
        <v>0.62292149458440804</v>
      </c>
      <c r="V19" s="4">
        <f>S22</f>
        <v>0.53953969346193176</v>
      </c>
      <c r="W19" s="4">
        <f>S23</f>
        <v>0.59767633253520969</v>
      </c>
      <c r="X19" s="4">
        <f>S24</f>
        <v>-2.6453523642999091E-2</v>
      </c>
      <c r="Y19" s="5"/>
    </row>
    <row r="20" spans="1:25" x14ac:dyDescent="0.3">
      <c r="A20" s="20" t="s">
        <v>37</v>
      </c>
      <c r="B20" s="4">
        <v>3.9521570079063886E-2</v>
      </c>
      <c r="C20" s="4">
        <v>0.12670057429795684</v>
      </c>
      <c r="D20" s="4">
        <v>0.18458736682821469</v>
      </c>
      <c r="E20" s="4">
        <v>-9.4296016741209909E-3</v>
      </c>
      <c r="F20" s="4">
        <v>0.3032044900782625</v>
      </c>
      <c r="G20" s="4">
        <v>0.11393761627031164</v>
      </c>
      <c r="H20" s="4">
        <v>1.241568123403332E-2</v>
      </c>
      <c r="I20" s="4">
        <v>7.3918174323775621E-2</v>
      </c>
      <c r="J20" s="4">
        <v>0.125726729990321</v>
      </c>
      <c r="K20" s="4">
        <v>7.7678231737071779E-2</v>
      </c>
      <c r="L20" s="4">
        <v>-0.13834312177720015</v>
      </c>
      <c r="M20" s="4">
        <v>-0.11729590438048554</v>
      </c>
      <c r="N20" s="4">
        <v>-0.17286651191154168</v>
      </c>
      <c r="O20" s="4">
        <v>-8.3492052024351504E-2</v>
      </c>
      <c r="P20" s="4">
        <v>-0.38540180566504378</v>
      </c>
      <c r="Q20" s="4">
        <v>0.1809922369181334</v>
      </c>
      <c r="R20" s="4">
        <v>0.63511531435136248</v>
      </c>
      <c r="S20" s="4">
        <v>0.56155237447480622</v>
      </c>
      <c r="T20" s="4">
        <v>1</v>
      </c>
      <c r="U20" s="4">
        <f>T21</f>
        <v>0.2643542059990282</v>
      </c>
      <c r="V20" s="4">
        <f>T22</f>
        <v>0.99253113574948115</v>
      </c>
      <c r="W20" s="4">
        <f>T23</f>
        <v>0.12594527230900004</v>
      </c>
      <c r="X20" s="4">
        <f>T24</f>
        <v>2.4967367912316039E-2</v>
      </c>
      <c r="Y20" s="5"/>
    </row>
    <row r="21" spans="1:25" x14ac:dyDescent="0.3">
      <c r="A21" s="20" t="s">
        <v>38</v>
      </c>
      <c r="B21" s="4">
        <v>0.18957774622578186</v>
      </c>
      <c r="C21" s="4">
        <v>0.14261547031206348</v>
      </c>
      <c r="D21" s="4">
        <v>-2.379579051596652E-2</v>
      </c>
      <c r="E21" s="4">
        <v>0.11951629178389697</v>
      </c>
      <c r="F21" s="4">
        <v>0.2001869701189691</v>
      </c>
      <c r="G21" s="4">
        <v>0.14498278847870485</v>
      </c>
      <c r="H21" s="4">
        <v>-8.1183762853508715E-2</v>
      </c>
      <c r="I21" s="4">
        <v>0.12784105686078223</v>
      </c>
      <c r="J21" s="4">
        <v>0.19593705750042714</v>
      </c>
      <c r="K21" s="4">
        <v>0.11443686912520752</v>
      </c>
      <c r="L21" s="4">
        <v>-4.256245169984671E-2</v>
      </c>
      <c r="M21" s="4">
        <v>-1.3699471542154324E-2</v>
      </c>
      <c r="N21" s="4">
        <v>5.4065814258990715E-2</v>
      </c>
      <c r="O21" s="4">
        <v>-4.2935757228572409E-2</v>
      </c>
      <c r="P21" s="4">
        <v>-0.1941247923242129</v>
      </c>
      <c r="Q21" s="4">
        <v>0.89132340341162586</v>
      </c>
      <c r="R21" s="4">
        <v>0.26869958946917344</v>
      </c>
      <c r="S21" s="4">
        <v>0.62292149458440804</v>
      </c>
      <c r="T21" s="4">
        <v>0.2643542059990282</v>
      </c>
      <c r="U21" s="4">
        <v>1</v>
      </c>
      <c r="V21" s="4">
        <f>U22</f>
        <v>0.2523061074027278</v>
      </c>
      <c r="W21" s="4">
        <f>U23</f>
        <v>0.91307579724604759</v>
      </c>
      <c r="X21" s="4">
        <f>U24</f>
        <v>3.5770046200570588E-2</v>
      </c>
      <c r="Y21" s="5"/>
    </row>
    <row r="22" spans="1:25" x14ac:dyDescent="0.3">
      <c r="A22" s="20" t="s">
        <v>39</v>
      </c>
      <c r="B22" s="4">
        <v>3.9635112834287708E-2</v>
      </c>
      <c r="C22" s="4">
        <v>9.8487340144104735E-2</v>
      </c>
      <c r="D22" s="4">
        <v>0.18774061780835077</v>
      </c>
      <c r="E22" s="4">
        <v>-1.7267552274973501E-2</v>
      </c>
      <c r="F22" s="4">
        <v>0.30078011333674631</v>
      </c>
      <c r="G22" s="4">
        <v>0.1143638998163331</v>
      </c>
      <c r="H22" s="4">
        <v>-2.2935594693736213E-3</v>
      </c>
      <c r="I22" s="4">
        <v>5.5366233893177276E-2</v>
      </c>
      <c r="J22" s="4">
        <v>0.12621569748132205</v>
      </c>
      <c r="K22" s="4">
        <v>6.2201745224481839E-2</v>
      </c>
      <c r="L22" s="4">
        <v>-0.14456751240927662</v>
      </c>
      <c r="M22" s="4">
        <v>-0.11494440577309967</v>
      </c>
      <c r="N22" s="4">
        <v>-0.14633077207820197</v>
      </c>
      <c r="O22" s="4">
        <v>-9.5720048348980749E-2</v>
      </c>
      <c r="P22" s="4">
        <v>-0.37132627757830905</v>
      </c>
      <c r="Q22" s="4">
        <v>0.17923951156162402</v>
      </c>
      <c r="R22" s="4">
        <v>0.62959591693054129</v>
      </c>
      <c r="S22" s="4">
        <v>0.53953969346193176</v>
      </c>
      <c r="T22" s="4">
        <v>0.99253113574948115</v>
      </c>
      <c r="U22" s="4">
        <v>0.2523061074027278</v>
      </c>
      <c r="V22" s="4">
        <v>1</v>
      </c>
      <c r="W22" s="4">
        <f>V23</f>
        <v>0.11835534513945466</v>
      </c>
      <c r="X22" s="4">
        <f>V24</f>
        <v>1.690261622455989E-2</v>
      </c>
      <c r="Y22" s="5"/>
    </row>
    <row r="23" spans="1:25" x14ac:dyDescent="0.3">
      <c r="A23" s="20" t="s">
        <v>40</v>
      </c>
      <c r="B23" s="4">
        <v>0.10001221307934459</v>
      </c>
      <c r="C23" s="4">
        <v>3.9483984772975274E-2</v>
      </c>
      <c r="D23" s="4">
        <v>-0.10072935894642453</v>
      </c>
      <c r="E23" s="4">
        <v>-7.0335362173536684E-2</v>
      </c>
      <c r="F23" s="4">
        <v>9.4457094727102925E-2</v>
      </c>
      <c r="G23" s="4">
        <v>0.1150705779803512</v>
      </c>
      <c r="H23" s="4">
        <v>-5.5267841205018362E-2</v>
      </c>
      <c r="I23" s="4">
        <v>0.11643162075402669</v>
      </c>
      <c r="J23" s="4">
        <v>8.5481131934083396E-2</v>
      </c>
      <c r="K23" s="4">
        <v>6.1998161596253182E-2</v>
      </c>
      <c r="L23" s="4">
        <v>-2.754193640495398E-2</v>
      </c>
      <c r="M23" s="4">
        <v>-3.1487322966095035E-2</v>
      </c>
      <c r="N23" s="4">
        <v>-3.7468167477426123E-2</v>
      </c>
      <c r="O23" s="4">
        <v>-0.16348216829379275</v>
      </c>
      <c r="P23" s="4">
        <v>-8.9741524298208974E-2</v>
      </c>
      <c r="Q23" s="4">
        <v>0.92801100386031765</v>
      </c>
      <c r="R23" s="4">
        <v>9.6207889349522582E-2</v>
      </c>
      <c r="S23" s="4">
        <v>0.59767633253520969</v>
      </c>
      <c r="T23" s="4">
        <v>0.12594527230900004</v>
      </c>
      <c r="U23" s="4">
        <v>0.91307579724604759</v>
      </c>
      <c r="V23" s="4">
        <v>0.11835534513945466</v>
      </c>
      <c r="W23" s="4">
        <v>1</v>
      </c>
      <c r="X23" s="4">
        <f>W24</f>
        <v>-3.0356292950031703E-2</v>
      </c>
      <c r="Y23" s="5"/>
    </row>
    <row r="24" spans="1:25" ht="15" thickBot="1" x14ac:dyDescent="0.35">
      <c r="A24" s="21" t="s">
        <v>41</v>
      </c>
      <c r="B24" s="6">
        <v>0.27591845507337159</v>
      </c>
      <c r="C24" s="6">
        <v>0.39316055871906141</v>
      </c>
      <c r="D24" s="6">
        <v>0.13028582932530319</v>
      </c>
      <c r="E24" s="6">
        <v>0.25174699650186722</v>
      </c>
      <c r="F24" s="6">
        <v>0.40041120467536212</v>
      </c>
      <c r="G24" s="6">
        <v>0.53600533599806255</v>
      </c>
      <c r="H24" s="6">
        <v>0.59617437430689091</v>
      </c>
      <c r="I24" s="6">
        <v>0.31074831637970229</v>
      </c>
      <c r="J24" s="6">
        <v>0.57166500929209185</v>
      </c>
      <c r="K24" s="6">
        <v>0.85038125409409959</v>
      </c>
      <c r="L24" s="6">
        <v>0.40999051337404613</v>
      </c>
      <c r="M24" s="6">
        <v>0.45297752386956791</v>
      </c>
      <c r="N24" s="6">
        <v>-4.1801446205392778E-2</v>
      </c>
      <c r="O24" s="6">
        <v>0.41534465512692731</v>
      </c>
      <c r="P24" s="6">
        <v>-0.24504341857455153</v>
      </c>
      <c r="Q24" s="6">
        <v>6.0708508162395002E-2</v>
      </c>
      <c r="R24" s="6">
        <v>0.11972124224561141</v>
      </c>
      <c r="S24" s="6">
        <v>-2.6453523642999091E-2</v>
      </c>
      <c r="T24" s="6">
        <v>2.4967367912316039E-2</v>
      </c>
      <c r="U24" s="6">
        <v>3.5770046200570588E-2</v>
      </c>
      <c r="V24" s="6">
        <v>1.690261622455989E-2</v>
      </c>
      <c r="W24" s="6">
        <v>-3.0356292950031703E-2</v>
      </c>
      <c r="X24" s="6">
        <v>1</v>
      </c>
      <c r="Y24" s="5"/>
    </row>
  </sheetData>
  <conditionalFormatting sqref="B2:Y2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2AC5-5EF4-4D08-ADC3-293E455D2B04}">
  <dimension ref="A1:X37"/>
  <sheetViews>
    <sheetView tabSelected="1" workbookViewId="0">
      <selection activeCell="C3" sqref="C3"/>
    </sheetView>
  </sheetViews>
  <sheetFormatPr defaultRowHeight="14.4" x14ac:dyDescent="0.3"/>
  <cols>
    <col min="1" max="2" width="15.88671875" bestFit="1" customWidth="1"/>
    <col min="3" max="3" width="10.44140625" bestFit="1" customWidth="1"/>
  </cols>
  <sheetData>
    <row r="1" spans="1:24" x14ac:dyDescent="0.3"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84</v>
      </c>
      <c r="Q1" s="7" t="s">
        <v>34</v>
      </c>
      <c r="R1" s="7" t="s">
        <v>35</v>
      </c>
      <c r="S1" s="7" t="s">
        <v>36</v>
      </c>
      <c r="T1" s="7" t="s">
        <v>37</v>
      </c>
      <c r="U1" s="7" t="s">
        <v>38</v>
      </c>
      <c r="V1" s="7" t="s">
        <v>39</v>
      </c>
      <c r="W1" s="7" t="s">
        <v>40</v>
      </c>
      <c r="X1" s="8" t="s">
        <v>86</v>
      </c>
    </row>
    <row r="2" spans="1:24" x14ac:dyDescent="0.3">
      <c r="A2" t="s">
        <v>72</v>
      </c>
      <c r="B2" s="12">
        <f>AVERAGE('Dados - Histórico retorno'!B$2:B$49)</f>
        <v>2.5421130952380952E-2</v>
      </c>
      <c r="C2" s="12">
        <f>AVERAGE('Dados - Histórico retorno'!C$2:C$49)</f>
        <v>2.0290773809523811E-2</v>
      </c>
      <c r="D2" s="12">
        <f>AVERAGE('Dados - Histórico retorno'!D$2:D$49)</f>
        <v>8.3461309523809504E-3</v>
      </c>
      <c r="E2" s="12">
        <f>AVERAGE('Dados - Histórico retorno'!E$2:E$49)</f>
        <v>1.6475595238095244E-2</v>
      </c>
      <c r="F2" s="12">
        <f>AVERAGE('Dados - Histórico retorno'!F$2:F$49)</f>
        <v>2.0689285714285719E-2</v>
      </c>
      <c r="G2" s="12">
        <f>AVERAGE('Dados - Histórico retorno'!G$2:G$49)</f>
        <v>5.2907440476190455E-2</v>
      </c>
      <c r="H2" s="12">
        <f>AVERAGE('Dados - Histórico retorno'!H$2:H$49)</f>
        <v>1.3924702380952383E-2</v>
      </c>
      <c r="I2" s="12">
        <f>AVERAGE('Dados - Histórico retorno'!I$2:I$49)</f>
        <v>2.2684821428571433E-2</v>
      </c>
      <c r="J2" s="12">
        <f>AVERAGE('Dados - Histórico retorno'!J$2:J$49)</f>
        <v>1.3325595238095239E-2</v>
      </c>
      <c r="K2" s="12">
        <f>AVERAGE('Dados - Histórico retorno'!K$2:K$49)</f>
        <v>1.075892857142857E-2</v>
      </c>
      <c r="L2" s="12">
        <f>AVERAGE('Dados - Histórico retorno'!L$2:L$49)</f>
        <v>2.6921428571428558E-2</v>
      </c>
      <c r="M2" s="12">
        <f>AVERAGE('Dados - Histórico retorno'!M$2:M$49)</f>
        <v>2.7681845238095235E-2</v>
      </c>
      <c r="N2" s="12">
        <f>AVERAGE('Dados - Histórico retorno'!N$2:N$49)</f>
        <v>-8.9285714285714072E-7</v>
      </c>
      <c r="O2" s="12">
        <f>AVERAGE('Dados - Histórico retorno'!O$2:O$49)</f>
        <v>5.3132440476190486E-2</v>
      </c>
      <c r="P2" s="12">
        <f>AVERAGE('Dados - Histórico retorno'!P$2:P$49)</f>
        <v>7.3958333333333341E-3</v>
      </c>
      <c r="Q2" s="12">
        <f>AVERAGE('Dados - Histórico retorno'!Q$2:Q$49)</f>
        <v>1.170208333333333E-2</v>
      </c>
      <c r="R2" s="12">
        <f>AVERAGE('Dados - Histórico retorno'!R$2:R$49)</f>
        <v>9.6458333333333344E-3</v>
      </c>
      <c r="S2" s="12">
        <f>AVERAGE('Dados - Histórico retorno'!S$2:S$49)</f>
        <v>1.0406250000000001E-2</v>
      </c>
      <c r="T2" s="12">
        <f>AVERAGE('Dados - Histórico retorno'!T$2:T$49)</f>
        <v>9.8791666666666663E-3</v>
      </c>
      <c r="U2" s="12">
        <f>AVERAGE('Dados - Histórico retorno'!U$2:U$49)</f>
        <v>1.1026062925170069E-2</v>
      </c>
      <c r="V2" s="12">
        <f>AVERAGE('Dados - Histórico retorno'!V$2:V$49)</f>
        <v>1.0060416666666664E-2</v>
      </c>
      <c r="W2" s="12">
        <f>AVERAGE('Dados - Histórico retorno'!W$2:W$49)</f>
        <v>1.0562499999999997E-2</v>
      </c>
      <c r="X2" s="12">
        <f>AVERAGE('Dados - Histórico retorno'!X$2:X$49)</f>
        <v>3.9302612025605864E-3</v>
      </c>
    </row>
    <row r="3" spans="1:24" x14ac:dyDescent="0.3">
      <c r="A3" t="s">
        <v>73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1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</row>
    <row r="4" spans="1:24" x14ac:dyDescent="0.3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24" t="s">
        <v>98</v>
      </c>
      <c r="B5" s="12">
        <f>SUM(intervalo_pesos)</f>
        <v>1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7" spans="1:24" x14ac:dyDescent="0.3">
      <c r="A7" t="s">
        <v>92</v>
      </c>
      <c r="B7" s="19">
        <f>SUMPRODUCT(B2:X2,B3:X3)/SUM(B3:X3)</f>
        <v>5.3132440476190486E-2</v>
      </c>
      <c r="P7" s="15"/>
    </row>
    <row r="8" spans="1:24" x14ac:dyDescent="0.3">
      <c r="A8" t="s">
        <v>93</v>
      </c>
      <c r="B8" s="22" cm="1">
        <f t="array" ref="B8">MMULT(MMULT((intervalo_pesos),matriz_covariancia),TRANSPOSE(intervalo_pesos))</f>
        <v>0.12097168440254749</v>
      </c>
      <c r="P8" s="15"/>
    </row>
    <row r="9" spans="1:24" x14ac:dyDescent="0.3">
      <c r="A9" t="s">
        <v>94</v>
      </c>
      <c r="B9" s="9">
        <f>SQRT(B8)</f>
        <v>0.34780983942744848</v>
      </c>
    </row>
    <row r="10" spans="1:24" x14ac:dyDescent="0.3">
      <c r="B10" s="9"/>
    </row>
    <row r="11" spans="1:24" x14ac:dyDescent="0.3">
      <c r="A11" t="s">
        <v>96</v>
      </c>
      <c r="B11" s="9">
        <v>0.14899999999999999</v>
      </c>
    </row>
    <row r="12" spans="1:24" x14ac:dyDescent="0.3">
      <c r="A12" t="s">
        <v>97</v>
      </c>
      <c r="B12" s="9">
        <f>(1+B11)^(1/12)-1</f>
        <v>1.1641575009651461E-2</v>
      </c>
    </row>
    <row r="13" spans="1:24" x14ac:dyDescent="0.3">
      <c r="A13" t="s">
        <v>95</v>
      </c>
      <c r="B13" s="23">
        <f>(B7-B12)/B9</f>
        <v>0.11929181053313423</v>
      </c>
    </row>
    <row r="17" spans="1:4" x14ac:dyDescent="0.3">
      <c r="B17" t="s">
        <v>92</v>
      </c>
      <c r="C17" t="s">
        <v>99</v>
      </c>
      <c r="D17" t="s">
        <v>101</v>
      </c>
    </row>
    <row r="18" spans="1:4" x14ac:dyDescent="0.3">
      <c r="A18">
        <v>1</v>
      </c>
      <c r="B18" s="25">
        <v>1.8309961529915583E-2</v>
      </c>
      <c r="C18" s="25">
        <v>1.0101988278471989E-3</v>
      </c>
      <c r="D18" t="s">
        <v>100</v>
      </c>
    </row>
    <row r="19" spans="1:4" x14ac:dyDescent="0.3">
      <c r="A19">
        <v>2</v>
      </c>
      <c r="B19" s="25">
        <v>5.3132440476190486E-2</v>
      </c>
      <c r="C19" s="25">
        <v>0.34780983942744848</v>
      </c>
    </row>
    <row r="20" spans="1:4" x14ac:dyDescent="0.3">
      <c r="A20">
        <v>3</v>
      </c>
      <c r="B20" s="25"/>
      <c r="C20" s="25"/>
    </row>
    <row r="21" spans="1:4" x14ac:dyDescent="0.3">
      <c r="A21">
        <v>4</v>
      </c>
      <c r="B21" s="25"/>
      <c r="C21" s="25"/>
    </row>
    <row r="22" spans="1:4" x14ac:dyDescent="0.3">
      <c r="A22">
        <v>5</v>
      </c>
      <c r="B22" s="25"/>
      <c r="C22" s="25"/>
    </row>
    <row r="23" spans="1:4" x14ac:dyDescent="0.3">
      <c r="A23">
        <v>6</v>
      </c>
      <c r="B23" s="25"/>
      <c r="C23" s="25"/>
    </row>
    <row r="24" spans="1:4" x14ac:dyDescent="0.3">
      <c r="A24">
        <v>7</v>
      </c>
      <c r="B24" s="25"/>
      <c r="C24" s="25"/>
    </row>
    <row r="25" spans="1:4" x14ac:dyDescent="0.3">
      <c r="A25">
        <v>8</v>
      </c>
      <c r="B25" s="25"/>
      <c r="C25" s="25"/>
    </row>
    <row r="26" spans="1:4" x14ac:dyDescent="0.3">
      <c r="A26">
        <v>9</v>
      </c>
      <c r="B26" s="25"/>
      <c r="C26" s="25"/>
    </row>
    <row r="27" spans="1:4" x14ac:dyDescent="0.3">
      <c r="A27">
        <v>10</v>
      </c>
      <c r="B27" s="25"/>
      <c r="C27" s="25"/>
    </row>
    <row r="28" spans="1:4" x14ac:dyDescent="0.3">
      <c r="A28">
        <v>11</v>
      </c>
      <c r="B28" s="25"/>
      <c r="C28" s="25"/>
    </row>
    <row r="29" spans="1:4" x14ac:dyDescent="0.3">
      <c r="A29">
        <v>12</v>
      </c>
      <c r="B29" s="25"/>
      <c r="C29" s="25"/>
    </row>
    <row r="30" spans="1:4" x14ac:dyDescent="0.3">
      <c r="A30">
        <v>13</v>
      </c>
      <c r="B30" s="25"/>
      <c r="C30" s="25"/>
    </row>
    <row r="31" spans="1:4" x14ac:dyDescent="0.3">
      <c r="A31">
        <v>14</v>
      </c>
      <c r="B31" s="25"/>
      <c r="C31" s="25"/>
    </row>
    <row r="32" spans="1:4" x14ac:dyDescent="0.3">
      <c r="A32">
        <v>15</v>
      </c>
      <c r="B32" s="25"/>
      <c r="C32" s="25"/>
    </row>
    <row r="33" spans="1:3" x14ac:dyDescent="0.3">
      <c r="A33">
        <v>16</v>
      </c>
      <c r="B33" s="25"/>
      <c r="C33" s="25"/>
    </row>
    <row r="34" spans="1:3" x14ac:dyDescent="0.3">
      <c r="A34">
        <v>17</v>
      </c>
      <c r="B34" s="25"/>
      <c r="C34" s="25"/>
    </row>
    <row r="35" spans="1:3" x14ac:dyDescent="0.3">
      <c r="A35">
        <v>18</v>
      </c>
      <c r="B35" s="25"/>
      <c r="C35" s="25"/>
    </row>
    <row r="36" spans="1:3" x14ac:dyDescent="0.3">
      <c r="A36">
        <v>19</v>
      </c>
      <c r="B36" s="25"/>
      <c r="C36" s="25"/>
    </row>
    <row r="37" spans="1:3" x14ac:dyDescent="0.3">
      <c r="A37">
        <v>20</v>
      </c>
      <c r="B37" s="25"/>
      <c r="C37" s="25"/>
    </row>
  </sheetData>
  <scenarios current="0">
    <scenario name="Carteira de Mínima Variância" count="23" user="ERASMO GUSMAO" comment="Criado por ERASMO GUSMAO em 1/7/2026">
      <inputCells r="B3" val="0.00121813407835421" numFmtId="164"/>
      <inputCells r="C3" val="0" numFmtId="164"/>
      <inputCells r="D3" val="0" numFmtId="164"/>
      <inputCells r="E3" val="0.000999617011918076" numFmtId="164"/>
      <inputCells r="F3" val="0" numFmtId="164"/>
      <inputCells r="G3" val="0" numFmtId="164"/>
      <inputCells r="H3" val="0.00135270748292038" numFmtId="164"/>
      <inputCells r="I3" val="0" numFmtId="164"/>
      <inputCells r="J3" val="0" numFmtId="164"/>
      <inputCells r="K3" val="0" numFmtId="164"/>
      <inputCells r="L3" val="0.000292041008760458" numFmtId="164"/>
      <inputCells r="M3" val="0" numFmtId="164"/>
      <inputCells r="N3" val="0.192864440298799" numFmtId="164"/>
      <inputCells r="O3" val="0" numFmtId="164"/>
      <inputCells r="P3" val="0.173064336571273" numFmtId="164"/>
      <inputCells r="Q3" val="0.0267694781067406" numFmtId="164"/>
      <inputCells r="R3" val="0.138809078606565" numFmtId="164"/>
      <inputCells r="S3" val="0.123537935314952" numFmtId="164"/>
      <inputCells r="T3" val="0.148657523185955" numFmtId="164"/>
      <inputCells r="U3" val="0" numFmtId="164"/>
      <inputCells r="V3" val="0.140866798959549" numFmtId="164"/>
      <inputCells r="W3" val="0.0424300165374272" numFmtId="164"/>
      <inputCells r="X3" val="0.00913802745133326" numFmtId="164"/>
    </scenario>
  </scenario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DDEE0-D722-48D3-954C-F450AF00C6DA}">
  <dimension ref="A1:B37"/>
  <sheetViews>
    <sheetView topLeftCell="A11" workbookViewId="0">
      <selection activeCell="B2" sqref="B2:B37"/>
    </sheetView>
  </sheetViews>
  <sheetFormatPr defaultRowHeight="14.4" x14ac:dyDescent="0.3"/>
  <cols>
    <col min="1" max="1" width="70" bestFit="1" customWidth="1"/>
  </cols>
  <sheetData>
    <row r="1" spans="1:2" x14ac:dyDescent="0.3">
      <c r="A1" s="13" t="s">
        <v>74</v>
      </c>
      <c r="B1" s="16" t="s">
        <v>90</v>
      </c>
    </row>
    <row r="2" spans="1:2" x14ac:dyDescent="0.3">
      <c r="A2" s="14" t="s">
        <v>75</v>
      </c>
      <c r="B2" s="17">
        <v>0.16225440795496368</v>
      </c>
    </row>
    <row r="3" spans="1:2" x14ac:dyDescent="0.3">
      <c r="A3" s="15" t="s">
        <v>76</v>
      </c>
      <c r="B3" s="18">
        <v>8.9728094305484826E-2</v>
      </c>
    </row>
    <row r="4" spans="1:2" x14ac:dyDescent="0.3">
      <c r="A4" s="14" t="s">
        <v>34</v>
      </c>
      <c r="B4" s="17">
        <v>7.8765288869835484E-2</v>
      </c>
    </row>
    <row r="5" spans="1:2" x14ac:dyDescent="0.3">
      <c r="A5" s="15" t="s">
        <v>30</v>
      </c>
      <c r="B5" s="18">
        <v>7.4895384890353259E-2</v>
      </c>
    </row>
    <row r="6" spans="1:2" x14ac:dyDescent="0.3">
      <c r="A6" s="14" t="s">
        <v>77</v>
      </c>
      <c r="B6" s="17">
        <v>6.5324082340715559E-2</v>
      </c>
    </row>
    <row r="7" spans="1:2" x14ac:dyDescent="0.3">
      <c r="A7" s="15" t="s">
        <v>78</v>
      </c>
      <c r="B7" s="18">
        <v>6.5468290986721744E-2</v>
      </c>
    </row>
    <row r="8" spans="1:2" x14ac:dyDescent="0.3">
      <c r="A8" s="14" t="s">
        <v>79</v>
      </c>
      <c r="B8" s="17">
        <v>6.2286371260428207E-2</v>
      </c>
    </row>
    <row r="9" spans="1:2" x14ac:dyDescent="0.3">
      <c r="A9" s="15" t="s">
        <v>80</v>
      </c>
      <c r="B9" s="18">
        <v>6.1428877238785602E-2</v>
      </c>
    </row>
    <row r="10" spans="1:2" x14ac:dyDescent="0.3">
      <c r="A10" s="14" t="s">
        <v>81</v>
      </c>
      <c r="B10" s="17">
        <v>5.9694255265452523E-2</v>
      </c>
    </row>
    <row r="11" spans="1:2" x14ac:dyDescent="0.3">
      <c r="A11" s="15" t="s">
        <v>40</v>
      </c>
      <c r="B11" s="18">
        <v>5.3956858123848338E-2</v>
      </c>
    </row>
    <row r="12" spans="1:2" x14ac:dyDescent="0.3">
      <c r="A12" s="14" t="s">
        <v>82</v>
      </c>
      <c r="B12" s="17">
        <v>4.4096577920499293E-2</v>
      </c>
    </row>
    <row r="13" spans="1:2" x14ac:dyDescent="0.3">
      <c r="A13" s="15" t="s">
        <v>31</v>
      </c>
      <c r="B13" s="18">
        <v>2.7413108202076816E-2</v>
      </c>
    </row>
    <row r="14" spans="1:2" x14ac:dyDescent="0.3">
      <c r="A14" s="14" t="s">
        <v>83</v>
      </c>
      <c r="B14" s="17">
        <v>2.6612950219310108E-2</v>
      </c>
    </row>
    <row r="15" spans="1:2" x14ac:dyDescent="0.3">
      <c r="A15" s="15" t="s">
        <v>84</v>
      </c>
      <c r="B15" s="18">
        <v>1.9825099414924718E-2</v>
      </c>
    </row>
    <row r="16" spans="1:2" x14ac:dyDescent="0.3">
      <c r="A16" s="14" t="s">
        <v>32</v>
      </c>
      <c r="B16" s="17">
        <v>1.864334716847697E-2</v>
      </c>
    </row>
    <row r="17" spans="1:2" x14ac:dyDescent="0.3">
      <c r="A17" s="15" t="s">
        <v>5</v>
      </c>
      <c r="B17" s="18">
        <v>1.3172308306005832E-2</v>
      </c>
    </row>
    <row r="18" spans="1:2" x14ac:dyDescent="0.3">
      <c r="A18" s="14" t="s">
        <v>6</v>
      </c>
      <c r="B18" s="17">
        <v>1.2076553264017326E-2</v>
      </c>
    </row>
    <row r="19" spans="1:2" x14ac:dyDescent="0.3">
      <c r="A19" s="15" t="s">
        <v>25</v>
      </c>
      <c r="B19" s="18">
        <v>9.5990110294308113E-3</v>
      </c>
    </row>
    <row r="20" spans="1:2" x14ac:dyDescent="0.3">
      <c r="A20" s="14" t="s">
        <v>29</v>
      </c>
      <c r="B20" s="17">
        <v>9.12470207475727E-3</v>
      </c>
    </row>
    <row r="21" spans="1:2" x14ac:dyDescent="0.3">
      <c r="A21" s="15" t="s">
        <v>26</v>
      </c>
      <c r="B21" s="18">
        <v>8.8210515000336723E-3</v>
      </c>
    </row>
    <row r="22" spans="1:2" x14ac:dyDescent="0.3">
      <c r="A22" s="14" t="s">
        <v>27</v>
      </c>
      <c r="B22" s="17">
        <v>8.2209797491568631E-3</v>
      </c>
    </row>
    <row r="23" spans="1:2" x14ac:dyDescent="0.3">
      <c r="A23" s="15" t="s">
        <v>85</v>
      </c>
      <c r="B23" s="18">
        <v>5.3194124550628198E-3</v>
      </c>
    </row>
    <row r="24" spans="1:2" x14ac:dyDescent="0.3">
      <c r="A24" s="14" t="s">
        <v>35</v>
      </c>
      <c r="B24" s="17">
        <v>5.0435093562016496E-3</v>
      </c>
    </row>
    <row r="25" spans="1:2" x14ac:dyDescent="0.3">
      <c r="A25" s="15" t="s">
        <v>86</v>
      </c>
      <c r="B25" s="18">
        <v>4.8994904910661099E-3</v>
      </c>
    </row>
    <row r="26" spans="1:2" x14ac:dyDescent="0.3">
      <c r="A26" s="14" t="s">
        <v>36</v>
      </c>
      <c r="B26" s="17">
        <v>3.9314832633786387E-3</v>
      </c>
    </row>
    <row r="27" spans="1:2" x14ac:dyDescent="0.3">
      <c r="A27" s="15" t="s">
        <v>87</v>
      </c>
      <c r="B27" s="18">
        <v>3.9137400518427451E-3</v>
      </c>
    </row>
    <row r="28" spans="1:2" x14ac:dyDescent="0.3">
      <c r="A28" s="14" t="s">
        <v>37</v>
      </c>
      <c r="B28" s="17">
        <v>2.2735240172111347E-3</v>
      </c>
    </row>
    <row r="29" spans="1:2" x14ac:dyDescent="0.3">
      <c r="A29" s="15" t="s">
        <v>88</v>
      </c>
      <c r="B29" s="18">
        <v>9.709430408569522E-4</v>
      </c>
    </row>
    <row r="30" spans="1:2" x14ac:dyDescent="0.3">
      <c r="A30" s="14" t="s">
        <v>39</v>
      </c>
      <c r="B30" s="17">
        <v>7.5681326087948734E-4</v>
      </c>
    </row>
    <row r="31" spans="1:2" x14ac:dyDescent="0.3">
      <c r="A31" s="15" t="s">
        <v>38</v>
      </c>
      <c r="B31" s="18">
        <v>7.1914069452821906E-4</v>
      </c>
    </row>
    <row r="32" spans="1:2" x14ac:dyDescent="0.3">
      <c r="A32" s="14" t="s">
        <v>28</v>
      </c>
      <c r="B32" s="17">
        <v>2.2593755342461495E-4</v>
      </c>
    </row>
    <row r="33" spans="1:2" x14ac:dyDescent="0.3">
      <c r="A33" s="15" t="s">
        <v>4</v>
      </c>
      <c r="B33" s="18">
        <v>2.3057312253637013E-4</v>
      </c>
    </row>
    <row r="34" spans="1:2" x14ac:dyDescent="0.3">
      <c r="A34" s="14" t="s">
        <v>2</v>
      </c>
      <c r="B34" s="17">
        <v>2.3131759295046359E-4</v>
      </c>
    </row>
    <row r="35" spans="1:2" x14ac:dyDescent="0.3">
      <c r="A35" s="15" t="s">
        <v>3</v>
      </c>
      <c r="B35" s="18">
        <v>0</v>
      </c>
    </row>
    <row r="36" spans="1:2" x14ac:dyDescent="0.3">
      <c r="A36" s="14" t="s">
        <v>1</v>
      </c>
      <c r="B36" s="17">
        <v>0</v>
      </c>
    </row>
    <row r="37" spans="1:2" x14ac:dyDescent="0.3">
      <c r="A37" s="15" t="s">
        <v>89</v>
      </c>
      <c r="B37" s="18">
        <v>7.6515014781826393E-5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Dados - Histórico retorno</vt:lpstr>
      <vt:lpstr>Covariância</vt:lpstr>
      <vt:lpstr>Correlação</vt:lpstr>
      <vt:lpstr>Estimativa retorno carteira</vt:lpstr>
      <vt:lpstr>Planilha9</vt:lpstr>
      <vt:lpstr>intervalo_pesos</vt:lpstr>
      <vt:lpstr>matriz_covariancia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ERASMO GUSMAO</dc:creator>
  <cp:lastModifiedBy>Erasmo Melo Gusmao</cp:lastModifiedBy>
  <dcterms:created xsi:type="dcterms:W3CDTF">2015-06-05T18:19:34Z</dcterms:created>
  <dcterms:modified xsi:type="dcterms:W3CDTF">2026-01-07T11:47:06Z</dcterms:modified>
</cp:coreProperties>
</file>